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1.1" state="visible" r:id="rId4"/>
  </sheets>
  <calcPr calcId="171027"/>
</workbook>
</file>

<file path=xl/sharedStrings.xml><?xml version="1.0" encoding="utf-8"?>
<sst xmlns="http://schemas.openxmlformats.org/spreadsheetml/2006/main" count="67" uniqueCount="54">
  <si>
    <t>JPR CONSULTING · ASIGNATURA 1.1 — Estado analítico y ROIC normalizado — Maderas del Litoral S.A.</t>
  </si>
  <si>
    <t>Editá las celdas marfil (datos del caso). El modelo reexpresa, normaliza y recalcula el ROIC con matrices dinámicas: las tablas de reexpresión derraman desde una sola fórmula (SEQUENCE / LET / HSTACK), sin arrastrar.</t>
  </si>
  <si>
    <t>1 · DATOS DE ENTRADA  (celdas marfil — editá acá)</t>
  </si>
  <si>
    <t>EBIT contable</t>
  </si>
  <si>
    <t>miles $</t>
  </si>
  <si>
    <t>Tasa impositiva efectiva</t>
  </si>
  <si>
    <t>Cuentas por cobrar (depuradas)</t>
  </si>
  <si>
    <t>Bienes de cambio (nominal, origen)</t>
  </si>
  <si>
    <t>Proveedores</t>
  </si>
  <si>
    <t>Bienes de uso — valor de libros</t>
  </si>
  <si>
    <t>Bienes de uso — valor de mercado</t>
  </si>
  <si>
    <t>Sueldo del dueño contabilizado</t>
  </si>
  <si>
    <t>Sueldo de mercado del cargo</t>
  </si>
  <si>
    <t>Gastos personales imputados a la empresa</t>
  </si>
  <si>
    <t>Alquiler pagado a parte relacionada</t>
  </si>
  <si>
    <t>Alquiler de mercado del inmueble</t>
  </si>
  <si>
    <t>Activos monetarios promedio</t>
  </si>
  <si>
    <t>Pasivos monetarios promedio</t>
  </si>
  <si>
    <t>Inflación del período (π)</t>
  </si>
  <si>
    <t>Coeficiente reexpresión bienes de cambio</t>
  </si>
  <si>
    <t>2 · CÁLCULOS E INDICADORES</t>
  </si>
  <si>
    <t>Ajuste retribución del dueño (a mercado)</t>
  </si>
  <si>
    <t>Negativo: el dueño cobra por debajo de mercado, el resultado estaba sobreestimado.</t>
  </si>
  <si>
    <t>Ajuste alquiler con parte relacionada</t>
  </si>
  <si>
    <t>Positivo: se pagaba de más; se recompone el resultado.</t>
  </si>
  <si>
    <t>EBIT normalizado</t>
  </si>
  <si>
    <t>NOPAT contable</t>
  </si>
  <si>
    <t>NOPAT normalizado</t>
  </si>
  <si>
    <t>Bienes de cambio reexpresados</t>
  </si>
  <si>
    <t>Capital empleado — contable</t>
  </si>
  <si>
    <t>Capital empleado — normalizado</t>
  </si>
  <si>
    <t>ROIC contable</t>
  </si>
  <si>
    <t>ROIC normalizado</t>
  </si>
  <si>
    <t>Sobreestimación del ROIC (pp)</t>
  </si>
  <si>
    <t>Posición monetaria neta</t>
  </si>
  <si>
    <t>RECPAM del período</t>
  </si>
  <si>
    <t>PMN pasiva → ganancia por licuación de deuda.</t>
  </si>
  <si>
    <t>3 · Reexpresión de partidas no monetarias  (matriz dinámica · una fórmula derrama toda la tabla)</t>
  </si>
  <si>
    <t>Una sola fórmula (LET + HSTACK) reexpresa las cuatro partidas. El coeficiente = índice de cierre ÷ índice de origen de cada rubro.</t>
  </si>
  <si>
    <t>Rubro no monetario</t>
  </si>
  <si>
    <t>Valor nominal</t>
  </si>
  <si>
    <t>Índice de origen</t>
  </si>
  <si>
    <t>Coeficiente</t>
  </si>
  <si>
    <t>Valor reexpresado</t>
  </si>
  <si>
    <t>4 · Reexpresión de la serie mensual de ventas  (matriz dinámica · una fórmula derrama toda la tabla)</t>
  </si>
  <si>
    <t>SEQUENCE genera los 12 meses; el coeficiente lleva cada venta a moneda de diciembre. Sumar las ventas nominales sería sumar pesos de distinto poder adquisitivo.</t>
  </si>
  <si>
    <t>Mes</t>
  </si>
  <si>
    <t>Ventas nominales</t>
  </si>
  <si>
    <t>Ventas homogéneas</t>
  </si>
  <si>
    <t>5 · CONCLUSIONES AUTOMÁTICAS</t>
  </si>
  <si>
    <t>Resultado operativo</t>
  </si>
  <si>
    <t>Capital y ROIC</t>
  </si>
  <si>
    <t>Posición monetaria</t>
  </si>
  <si>
    <t>JPR Consulting · Maestría en Finanzas Corporativas Aplicadas con IA · UNNE — Asignatura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</si>
</sst>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%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i/>
      <color rgb="FF8A8F97"/>
      <sz val="9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9" fontId="5" fillId="4" borderId="1" xfId="0" applyNumberFormat="1" applyFont="1" applyFill="1" applyBorder="1"/>
    <xf numFmtId="164" fontId="5" fillId="4" borderId="1" xfId="0" applyNumberFormat="1" applyFont="1" applyFill="1" applyBorder="1"/>
    <xf numFmtId="3" fontId="7" fillId="5" borderId="0" xfId="0" applyNumberFormat="1" applyFont="1" applyFill="1"/>
    <xf numFmtId="0" fontId="8" fillId="0" borderId="0" xfId="0" applyFont="1"/>
    <xf numFmtId="0" fontId="9" fillId="0" borderId="0" xfId="0" applyFont="1"/>
    <xf numFmtId="3" fontId="10" fillId="6" borderId="1" xfId="0" applyNumberFormat="1" applyFont="1" applyFill="1" applyBorder="1"/>
    <xf numFmtId="165" fontId="7" fillId="5" borderId="0" xfId="0" applyNumberFormat="1" applyFont="1" applyFill="1"/>
    <xf numFmtId="165" fontId="10" fillId="6" borderId="1" xfId="0" applyNumberFormat="1" applyFont="1" applyFill="1" applyBorder="1"/>
    <xf numFmtId="0" fontId="8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3" fontId="13" fillId="0" borderId="0" xfId="0" applyNumberFormat="1" applyFont="1"/>
    <xf numFmtId="4" fontId="13" fillId="0" borderId="0" xfId="0" applyNumberFormat="1" applyFont="1"/>
    <xf numFmtId="164" fontId="13" fillId="0" borderId="0" xfId="0" applyNumberFormat="1" applyFont="1"/>
    <xf numFmtId="3" fontId="12" fillId="0" borderId="0" xfId="0" applyNumberFormat="1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4200</v>
      </c>
      <c r="C5" s="6" t="s">
        <v>4</v>
      </c>
    </row>
    <row r="6" spans="1:2" x14ac:dyDescent="0.25">
      <c r="A6" s="4" t="s">
        <v>5</v>
      </c>
      <c r="B6" s="7">
        <v>0.35</v>
      </c>
    </row>
    <row r="7" spans="1:3" x14ac:dyDescent="0.25">
      <c r="A7" s="4" t="s">
        <v>6</v>
      </c>
      <c r="B7" s="5">
        <v>3100</v>
      </c>
      <c r="C7" s="6" t="s">
        <v>4</v>
      </c>
    </row>
    <row r="8" spans="1:3" x14ac:dyDescent="0.25">
      <c r="A8" s="4" t="s">
        <v>7</v>
      </c>
      <c r="B8" s="5">
        <v>2600</v>
      </c>
      <c r="C8" s="6" t="s">
        <v>4</v>
      </c>
    </row>
    <row r="9" spans="1:3" x14ac:dyDescent="0.25">
      <c r="A9" s="4" t="s">
        <v>8</v>
      </c>
      <c r="B9" s="5">
        <v>1900</v>
      </c>
      <c r="C9" s="6" t="s">
        <v>4</v>
      </c>
    </row>
    <row r="10" spans="1:3" x14ac:dyDescent="0.25">
      <c r="A10" s="4" t="s">
        <v>9</v>
      </c>
      <c r="B10" s="5">
        <v>900</v>
      </c>
      <c r="C10" s="6" t="s">
        <v>4</v>
      </c>
    </row>
    <row r="11" spans="1:3" x14ac:dyDescent="0.25">
      <c r="A11" s="4" t="s">
        <v>10</v>
      </c>
      <c r="B11" s="5">
        <v>6800</v>
      </c>
      <c r="C11" s="6" t="s">
        <v>4</v>
      </c>
    </row>
    <row r="12" spans="1:3" x14ac:dyDescent="0.25">
      <c r="A12" s="4" t="s">
        <v>11</v>
      </c>
      <c r="B12" s="5">
        <v>600</v>
      </c>
      <c r="C12" s="6" t="s">
        <v>4</v>
      </c>
    </row>
    <row r="13" spans="1:3" x14ac:dyDescent="0.25">
      <c r="A13" s="4" t="s">
        <v>12</v>
      </c>
      <c r="B13" s="5">
        <v>2400</v>
      </c>
      <c r="C13" s="6" t="s">
        <v>4</v>
      </c>
    </row>
    <row r="14" spans="1:3" x14ac:dyDescent="0.25">
      <c r="A14" s="4" t="s">
        <v>13</v>
      </c>
      <c r="B14" s="5">
        <v>850</v>
      </c>
      <c r="C14" s="6" t="s">
        <v>4</v>
      </c>
    </row>
    <row r="15" spans="1:3" x14ac:dyDescent="0.25">
      <c r="A15" s="4" t="s">
        <v>14</v>
      </c>
      <c r="B15" s="5">
        <v>1500</v>
      </c>
      <c r="C15" s="6" t="s">
        <v>4</v>
      </c>
    </row>
    <row r="16" spans="1:3" x14ac:dyDescent="0.25">
      <c r="A16" s="4" t="s">
        <v>15</v>
      </c>
      <c r="B16" s="5">
        <v>900</v>
      </c>
      <c r="C16" s="6" t="s">
        <v>4</v>
      </c>
    </row>
    <row r="17" spans="1:3" x14ac:dyDescent="0.25">
      <c r="A17" s="4" t="s">
        <v>16</v>
      </c>
      <c r="B17" s="5">
        <v>3400</v>
      </c>
      <c r="C17" s="6" t="s">
        <v>4</v>
      </c>
    </row>
    <row r="18" spans="1:3" x14ac:dyDescent="0.25">
      <c r="A18" s="4" t="s">
        <v>17</v>
      </c>
      <c r="B18" s="5">
        <v>5200</v>
      </c>
      <c r="C18" s="6" t="s">
        <v>4</v>
      </c>
    </row>
    <row r="19" spans="1:2" x14ac:dyDescent="0.25">
      <c r="A19" s="4" t="s">
        <v>18</v>
      </c>
      <c r="B19" s="7">
        <v>0.6</v>
      </c>
    </row>
    <row r="20" spans="1:2" x14ac:dyDescent="0.25">
      <c r="A20" s="4" t="s">
        <v>19</v>
      </c>
      <c r="B20" s="8">
        <v>1.45</v>
      </c>
    </row>
    <row r="22" ht="22" customHeight="1" spans="1:4" x14ac:dyDescent="0.25">
      <c r="A22" s="3" t="s">
        <v>20</v>
      </c>
      <c r="B22" s="3"/>
      <c r="C22" s="3"/>
      <c r="D22" s="3"/>
    </row>
    <row r="23" spans="1:4" x14ac:dyDescent="0.25">
      <c r="A23" s="4" t="s">
        <v>21</v>
      </c>
      <c r="B23" s="9">
        <f>-(B13-B12)</f>
      </c>
      <c r="D23" s="10" t="s">
        <v>22</v>
      </c>
    </row>
    <row r="24" spans="1:4" x14ac:dyDescent="0.25">
      <c r="A24" s="4" t="s">
        <v>23</v>
      </c>
      <c r="B24" s="9">
        <f>B15-B16</f>
      </c>
      <c r="D24" s="10" t="s">
        <v>24</v>
      </c>
    </row>
    <row r="25" spans="1:2" x14ac:dyDescent="0.25">
      <c r="A25" s="11" t="s">
        <v>25</v>
      </c>
      <c r="B25" s="12">
        <f>B5+B14+B23+B24</f>
      </c>
    </row>
    <row r="26" spans="1:2" x14ac:dyDescent="0.25">
      <c r="A26" s="4" t="s">
        <v>26</v>
      </c>
      <c r="B26" s="9">
        <f>B5*(1-B6)</f>
      </c>
    </row>
    <row r="27" spans="1:2" x14ac:dyDescent="0.25">
      <c r="A27" s="11" t="s">
        <v>27</v>
      </c>
      <c r="B27" s="12">
        <f>B25*(1-B6)</f>
      </c>
    </row>
    <row r="28" spans="1:2" x14ac:dyDescent="0.25">
      <c r="A28" s="4" t="s">
        <v>28</v>
      </c>
      <c r="B28" s="9">
        <f>B8*B20</f>
      </c>
    </row>
    <row r="29" spans="1:2" x14ac:dyDescent="0.25">
      <c r="A29" s="4" t="s">
        <v>29</v>
      </c>
      <c r="B29" s="9">
        <f>B7+B8-B9+B10</f>
      </c>
    </row>
    <row r="30" spans="1:2" x14ac:dyDescent="0.25">
      <c r="A30" s="11" t="s">
        <v>30</v>
      </c>
      <c r="B30" s="12">
        <f>B7+B28-B9+B11</f>
      </c>
    </row>
    <row r="31" spans="1:2" x14ac:dyDescent="0.25">
      <c r="A31" s="4" t="s">
        <v>31</v>
      </c>
      <c r="B31" s="13">
        <f>B26/B29</f>
      </c>
    </row>
    <row r="32" spans="1:2" x14ac:dyDescent="0.25">
      <c r="A32" s="11" t="s">
        <v>32</v>
      </c>
      <c r="B32" s="14">
        <f>B27/B30</f>
      </c>
    </row>
    <row r="33" spans="1:2" x14ac:dyDescent="0.25">
      <c r="A33" s="4" t="s">
        <v>33</v>
      </c>
      <c r="B33" s="13">
        <f>B31-B32</f>
      </c>
    </row>
    <row r="34" spans="1:2" x14ac:dyDescent="0.25">
      <c r="A34" s="4" t="s">
        <v>34</v>
      </c>
      <c r="B34" s="9">
        <f>B17-B18</f>
      </c>
    </row>
    <row r="35" spans="1:4" x14ac:dyDescent="0.25">
      <c r="A35" s="11" t="s">
        <v>35</v>
      </c>
      <c r="B35" s="12">
        <f>-B34*B19</f>
      </c>
      <c r="D35" s="10" t="s">
        <v>36</v>
      </c>
    </row>
    <row r="37" ht="22" customHeight="1" spans="1:4" x14ac:dyDescent="0.25">
      <c r="A37" s="3" t="s">
        <v>37</v>
      </c>
      <c r="B37" s="3"/>
      <c r="C37" s="3"/>
      <c r="D37" s="3"/>
    </row>
    <row r="38" ht="24" customHeight="1" spans="1:4" x14ac:dyDescent="0.25">
      <c r="A38" s="15" t="s">
        <v>38</v>
      </c>
      <c r="B38" s="15"/>
      <c r="C38" s="15"/>
      <c r="D38" s="15"/>
    </row>
    <row r="39" ht="20" customHeight="1" spans="1:5" x14ac:dyDescent="0.25">
      <c r="A39" s="16" t="s">
        <v>39</v>
      </c>
      <c r="B39" s="16" t="s">
        <v>40</v>
      </c>
      <c r="C39" s="16" t="s">
        <v>41</v>
      </c>
      <c r="D39" s="16" t="s">
        <v>42</v>
      </c>
      <c r="E39" s="16" t="s">
        <v>43</v>
      </c>
    </row>
    <row r="40" spans="1:5" x14ac:dyDescent="0.25">
      <c r="A40" s="17">
        <f>_xlfn.LET(rub,{"Bienes de cambio";"Bienes de uso (planta, VO)";"Rodados";"Anticipos a proveedores"}, nom,{2600;900;480;320}, io,{142.6;58.3;110.4;150.1}, idxc,206.8, cf,idxc/io, _xlfn.HSTACK(rub,nom,io,cf,nom*cf))</f>
      </c>
      <c r="B40" s="18"/>
      <c r="C40" s="19"/>
      <c r="D40" s="20"/>
      <c r="E40" s="18"/>
    </row>
    <row r="41" spans="1:5" x14ac:dyDescent="0.25">
      <c r="A41" s="17"/>
      <c r="B41" s="18"/>
      <c r="C41" s="19"/>
      <c r="D41" s="20"/>
      <c r="E41" s="18"/>
    </row>
    <row r="42" spans="1:5" x14ac:dyDescent="0.25">
      <c r="A42" s="17"/>
      <c r="B42" s="18"/>
      <c r="C42" s="19"/>
      <c r="D42" s="20"/>
      <c r="E42" s="18"/>
    </row>
    <row r="43" spans="1:5" x14ac:dyDescent="0.25">
      <c r="A43" s="17"/>
      <c r="B43" s="18"/>
      <c r="C43" s="19"/>
      <c r="D43" s="20"/>
      <c r="E43" s="18"/>
    </row>
    <row r="45" ht="22" customHeight="1" spans="1:4" x14ac:dyDescent="0.25">
      <c r="A45" s="3" t="s">
        <v>44</v>
      </c>
      <c r="B45" s="3"/>
      <c r="C45" s="3"/>
      <c r="D45" s="3"/>
    </row>
    <row r="46" ht="24" customHeight="1" spans="1:4" x14ac:dyDescent="0.25">
      <c r="A46" s="15" t="s">
        <v>45</v>
      </c>
      <c r="B46" s="15"/>
      <c r="C46" s="15"/>
      <c r="D46" s="15"/>
    </row>
    <row r="47" ht="20" customHeight="1" spans="1:4" x14ac:dyDescent="0.25">
      <c r="A47" s="16" t="s">
        <v>46</v>
      </c>
      <c r="B47" s="16" t="s">
        <v>47</v>
      </c>
      <c r="C47" s="16" t="s">
        <v>42</v>
      </c>
      <c r="D47" s="16" t="s">
        <v>48</v>
      </c>
    </row>
    <row r="48" spans="1:4" x14ac:dyDescent="0.25">
      <c r="A48" s="21">
        <f>_xlfn.LET(n,12, m,_xlfn.SEQUENCE(n), vn,{1450;1520;1610;1680;1740;1810;1890;1960;2050;2140;2230;2360}, im,{142.6;148.1;154.0;160.2;166.7;173.5;180.6;188.0;195.7;203.8;212.2;221.0}, idxc,221.0, cf,idxc/im, _xlfn.HSTACK(m,vn,cf,vn*cf))</f>
      </c>
      <c r="B48" s="18"/>
      <c r="C48" s="20"/>
      <c r="D48" s="18"/>
    </row>
    <row r="49" spans="1:4" x14ac:dyDescent="0.25">
      <c r="A49" s="21"/>
      <c r="B49" s="18"/>
      <c r="C49" s="20"/>
      <c r="D49" s="18"/>
    </row>
    <row r="50" spans="1:4" x14ac:dyDescent="0.25">
      <c r="A50" s="21"/>
      <c r="B50" s="18"/>
      <c r="C50" s="20"/>
      <c r="D50" s="18"/>
    </row>
    <row r="51" spans="1:4" x14ac:dyDescent="0.25">
      <c r="A51" s="21"/>
      <c r="B51" s="18"/>
      <c r="C51" s="20"/>
      <c r="D51" s="18"/>
    </row>
    <row r="52" spans="1:4" x14ac:dyDescent="0.25">
      <c r="A52" s="21"/>
      <c r="B52" s="18"/>
      <c r="C52" s="20"/>
      <c r="D52" s="18"/>
    </row>
    <row r="53" spans="1:4" x14ac:dyDescent="0.25">
      <c r="A53" s="21"/>
      <c r="B53" s="18"/>
      <c r="C53" s="20"/>
      <c r="D53" s="18"/>
    </row>
    <row r="54" spans="1:4" x14ac:dyDescent="0.25">
      <c r="A54" s="21"/>
      <c r="B54" s="18"/>
      <c r="C54" s="20"/>
      <c r="D54" s="18"/>
    </row>
    <row r="55" spans="1:4" x14ac:dyDescent="0.25">
      <c r="A55" s="21"/>
      <c r="B55" s="18"/>
      <c r="C55" s="20"/>
      <c r="D55" s="18"/>
    </row>
    <row r="56" spans="1:4" x14ac:dyDescent="0.25">
      <c r="A56" s="21"/>
      <c r="B56" s="18"/>
      <c r="C56" s="20"/>
      <c r="D56" s="18"/>
    </row>
    <row r="57" spans="1:4" x14ac:dyDescent="0.25">
      <c r="A57" s="21"/>
      <c r="B57" s="18"/>
      <c r="C57" s="20"/>
      <c r="D57" s="18"/>
    </row>
    <row r="58" spans="1:4" x14ac:dyDescent="0.25">
      <c r="A58" s="21"/>
      <c r="B58" s="18"/>
      <c r="C58" s="20"/>
      <c r="D58" s="18"/>
    </row>
    <row r="59" spans="1:4" x14ac:dyDescent="0.25">
      <c r="A59" s="21"/>
      <c r="B59" s="18"/>
      <c r="C59" s="20"/>
      <c r="D59" s="18"/>
    </row>
    <row r="61" ht="22" customHeight="1" spans="1:4" x14ac:dyDescent="0.25">
      <c r="A61" s="3" t="s">
        <v>49</v>
      </c>
      <c r="B61" s="3"/>
      <c r="C61" s="3"/>
      <c r="D61" s="3"/>
    </row>
    <row r="62" ht="34" customHeight="1" spans="1:4" x14ac:dyDescent="0.25">
      <c r="A62" s="22" t="s">
        <v>50</v>
      </c>
      <c r="B62" s="23">
        <f>"EBIT normalizado "&amp;TEXT(B25,"#,##0")&amp;" vs "&amp;TEXT(B5,"#,##0")&amp;" contable: la normalización cambia el resultado operativo en "&amp;TEXT(B25-B5,"#,##0")&amp;" miles."</f>
      </c>
      <c r="C62" s="23"/>
      <c r="D62" s="23"/>
    </row>
    <row r="63" ht="34" customHeight="1" spans="1:4" x14ac:dyDescent="0.25">
      <c r="A63" s="22" t="s">
        <v>51</v>
      </c>
      <c r="B63" s="23">
        <f>IF(B31&gt;B32,"El ROIC contable ("&amp;TEXT(B31,"0.0%")&amp;") SOBREESTIMA la eficiencia real ("&amp;TEXT(B32,"0.0%")&amp;") en "&amp;TEXT(B31-B32,"0.0%")&amp;": la planta amortizada y los rubros a valor nominal inflan el retorno.","El ROIC normalizado supera al contable; revisar supuestos de valuación.")</f>
      </c>
      <c r="C63" s="23"/>
      <c r="D63" s="23"/>
    </row>
    <row r="64" ht="34" customHeight="1" spans="1:4" x14ac:dyDescent="0.25">
      <c r="A64" s="22" t="s">
        <v>52</v>
      </c>
      <c r="B64" s="23">
        <f>IF(B35&gt;=0,"Posición monetaria PASIVA: ganancia por RECPAM de "&amp;TEXT(B35,"#,##0")&amp;" miles (licuación de deuda). No es rentabilidad operativa: desaparece si baja la inflación.","Posición monetaria ACTIVA: pérdida por RECPAM de "&amp;TEXT(-B35,"#,##0")&amp;" miles por exposición de activos monetarios.")</f>
      </c>
      <c r="C64" s="23"/>
      <c r="D64" s="23"/>
    </row>
    <row r="66" spans="1:4" x14ac:dyDescent="0.25">
      <c r="A66" s="24" t="s">
        <v>53</v>
      </c>
      <c r="B66" s="24"/>
      <c r="C66" s="24"/>
      <c r="D66" s="24"/>
    </row>
  </sheetData>
  <mergeCells count="13">
    <mergeCell ref="A1:D1"/>
    <mergeCell ref="A2:D2"/>
    <mergeCell ref="A4:D4"/>
    <mergeCell ref="A22:D22"/>
    <mergeCell ref="A37:D37"/>
    <mergeCell ref="A38:D38"/>
    <mergeCell ref="A45:D45"/>
    <mergeCell ref="A46:D46"/>
    <mergeCell ref="A61:D61"/>
    <mergeCell ref="B62:D62"/>
    <mergeCell ref="B63:D63"/>
    <mergeCell ref="B64:D64"/>
    <mergeCell ref="A66:D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1.1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1.1 — Estado analítico y ROIC normalizado — Maderas del Litoral S.A.</dc:title>
  <dc:subject/>
  <dc:description/>
  <cp:keywords/>
  <cp:category/>
  <cp:lastModifiedBy>Unknown</cp:lastModifiedBy>
  <dcterms:created xsi:type="dcterms:W3CDTF">2026-08-18T12:43:35Z</dcterms:created>
  <dcterms:modified xsi:type="dcterms:W3CDTF">2026-08-18T12:43:35Z</dcterms:modified>
</cp:coreProperties>
</file>