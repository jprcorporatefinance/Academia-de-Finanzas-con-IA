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1.2" state="visible" r:id="rId4"/>
  </sheets>
  <calcPr calcId="171027"/>
</workbook>
</file>

<file path=xl/sharedStrings.xml><?xml version="1.0" encoding="utf-8"?>
<sst xmlns="http://schemas.openxmlformats.org/spreadsheetml/2006/main" count="29" uniqueCount="29">
  <si>
    <t>JPR CONSULTING · ASIGNATURA 1.2 — Mapa contable-analítico y conciliación con el balance</t>
  </si>
  <si>
    <t>El modelo concilia la extracción del ERP contra el balance publicado usando matrices dinámicas: MAP/LAMBDA suman cada rubro desde el arreglo de cuentas, y una sola fórmula derrama toda la conciliación. Cambiá la tolerancia o los saldos de control (celdas marfil).</t>
  </si>
  <si>
    <t>1 · DATOS DE ENTRADA  (celdas marfil — editá acá)</t>
  </si>
  <si>
    <t>Tolerancia de conciliación</t>
  </si>
  <si>
    <t>miles $</t>
  </si>
  <si>
    <t>Diferencia máxima aceptada por rubro antes de marcar REVISAR.</t>
  </si>
  <si>
    <t>Balance — Disponibilidades</t>
  </si>
  <si>
    <t>Balance — Créditos por ventas</t>
  </si>
  <si>
    <t>Incluye un saldo aún no depurado.</t>
  </si>
  <si>
    <t>Balance — Bienes de cambio</t>
  </si>
  <si>
    <t>Balance — Bienes de uso</t>
  </si>
  <si>
    <t>Balance — Deudas comerciales</t>
  </si>
  <si>
    <t>Balance — Deudas financieras</t>
  </si>
  <si>
    <t>2 · CÁLCULOS E INDICADORES</t>
  </si>
  <si>
    <t>Total extraído del ERP</t>
  </si>
  <si>
    <t>Total del balance (control)</t>
  </si>
  <si>
    <t>Diferencia total</t>
  </si>
  <si>
    <t>Grado de conciliación</t>
  </si>
  <si>
    <t>3 · Conciliación por rubro analítico  (matriz dinámica · una fórmula derrama toda la tabla)</t>
  </si>
  <si>
    <t>MAP + LAMBDA suman cada rubro desde el arreglo de cuentas del ERP; VSTACK arma el vector de saldos del balance; IF-arreglo marca el estado. Una sola fórmula derrama las seis filas.</t>
  </si>
  <si>
    <t>Rubro analítico</t>
  </si>
  <si>
    <t>Suma desde el ERP</t>
  </si>
  <si>
    <t>Saldo del balance</t>
  </si>
  <si>
    <t>Diferencia</t>
  </si>
  <si>
    <t>Estado</t>
  </si>
  <si>
    <t>4 · CONCLUSIONES AUTOMÁTICAS</t>
  </si>
  <si>
    <t>Trazabilidad</t>
  </si>
  <si>
    <t>Gobierno</t>
  </si>
  <si>
    <t>JPR Consulting · Maestría en Finanzas Corporativas Aplicadas con IA · UNNE — Asignatura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</si>
</sst>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i/>
      <color rgb="FF8A8F97"/>
      <sz val="9"/>
      <name val="IBM Plex Sans"/>
    </font>
    <font>
      <b/>
      <color rgb="FF33373D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FBFAF7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0" fontId="7" fillId="0" borderId="0" xfId="0" applyFont="1"/>
    <xf numFmtId="3" fontId="8" fillId="5" borderId="0" xfId="0" applyNumberFormat="1" applyFont="1" applyFill="1"/>
    <xf numFmtId="0" fontId="9" fillId="0" borderId="0" xfId="0" applyFont="1"/>
    <xf numFmtId="3" fontId="10" fillId="6" borderId="1" xfId="0" applyNumberFormat="1" applyFont="1" applyFill="1" applyBorder="1"/>
    <xf numFmtId="10" fontId="10" fillId="6" borderId="1" xfId="0" applyNumberFormat="1" applyFont="1" applyFill="1" applyBorder="1"/>
    <xf numFmtId="0" fontId="7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0" borderId="0" xfId="0" applyFont="1"/>
    <xf numFmtId="3" fontId="13" fillId="0" borderId="0" xfId="0" applyNumberFormat="1" applyFont="1"/>
    <xf numFmtId="0" fontId="13" fillId="0" borderId="0" xfId="0" applyFont="1"/>
    <xf numFmtId="0" fontId="5" fillId="0" borderId="0" xfId="0" applyFont="1"/>
    <xf numFmtId="0" fontId="14" fillId="6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4" x14ac:dyDescent="0.25">
      <c r="A5" s="4" t="s">
        <v>3</v>
      </c>
      <c r="B5" s="5">
        <v>10</v>
      </c>
      <c r="C5" s="6" t="s">
        <v>4</v>
      </c>
      <c r="D5" s="7" t="s">
        <v>5</v>
      </c>
    </row>
    <row r="6" spans="1:2" x14ac:dyDescent="0.25">
      <c r="A6" s="4" t="s">
        <v>6</v>
      </c>
      <c r="B6" s="5">
        <v>600</v>
      </c>
    </row>
    <row r="7" spans="1:4" x14ac:dyDescent="0.25">
      <c r="A7" s="4" t="s">
        <v>7</v>
      </c>
      <c r="B7" s="5">
        <v>3160</v>
      </c>
      <c r="D7" s="7" t="s">
        <v>8</v>
      </c>
    </row>
    <row r="8" spans="1:2" x14ac:dyDescent="0.25">
      <c r="A8" s="4" t="s">
        <v>9</v>
      </c>
      <c r="B8" s="5">
        <v>2600</v>
      </c>
    </row>
    <row r="9" spans="1:2" x14ac:dyDescent="0.25">
      <c r="A9" s="4" t="s">
        <v>10</v>
      </c>
      <c r="B9" s="5">
        <v>900</v>
      </c>
    </row>
    <row r="10" spans="1:2" x14ac:dyDescent="0.25">
      <c r="A10" s="4" t="s">
        <v>11</v>
      </c>
      <c r="B10" s="5">
        <v>1900</v>
      </c>
    </row>
    <row r="11" spans="1:2" x14ac:dyDescent="0.25">
      <c r="A11" s="4" t="s">
        <v>12</v>
      </c>
      <c r="B11" s="5">
        <v>6500</v>
      </c>
    </row>
    <row r="13" ht="22" customHeight="1" spans="1:4" x14ac:dyDescent="0.25">
      <c r="A13" s="3" t="s">
        <v>13</v>
      </c>
      <c r="B13" s="3"/>
      <c r="C13" s="3"/>
      <c r="D13" s="3"/>
    </row>
    <row r="14" spans="1:2" x14ac:dyDescent="0.25">
      <c r="A14" s="4" t="s">
        <v>14</v>
      </c>
      <c r="B14" s="8">
        <f>SUM({380;220;2800;300;2600;480;420;1900;4200;2300})</f>
      </c>
    </row>
    <row r="15" spans="1:2" x14ac:dyDescent="0.25">
      <c r="A15" s="4" t="s">
        <v>15</v>
      </c>
      <c r="B15" s="8">
        <f>B6+B7+B8+B9+B10+B11</f>
      </c>
    </row>
    <row r="16" spans="1:2" x14ac:dyDescent="0.25">
      <c r="A16" s="9" t="s">
        <v>16</v>
      </c>
      <c r="B16" s="10">
        <f>B14-B15</f>
      </c>
    </row>
    <row r="17" spans="1:2" x14ac:dyDescent="0.25">
      <c r="A17" s="9" t="s">
        <v>17</v>
      </c>
      <c r="B17" s="11">
        <f>1-ABS(B16)/B15</f>
      </c>
    </row>
    <row r="19" ht="22" customHeight="1" spans="1:4" x14ac:dyDescent="0.25">
      <c r="A19" s="3" t="s">
        <v>18</v>
      </c>
      <c r="B19" s="3"/>
      <c r="C19" s="3"/>
      <c r="D19" s="3"/>
    </row>
    <row r="20" ht="24" customHeight="1" spans="1:4" x14ac:dyDescent="0.25">
      <c r="A20" s="12" t="s">
        <v>19</v>
      </c>
      <c r="B20" s="12"/>
      <c r="C20" s="12"/>
      <c r="D20" s="12"/>
    </row>
    <row r="21" ht="20" customHeight="1" spans="1:5" x14ac:dyDescent="0.25">
      <c r="A21" s="13" t="s">
        <v>20</v>
      </c>
      <c r="B21" s="13" t="s">
        <v>21</v>
      </c>
      <c r="C21" s="13" t="s">
        <v>22</v>
      </c>
      <c r="D21" s="13" t="s">
        <v>23</v>
      </c>
      <c r="E21" s="13" t="s">
        <v>24</v>
      </c>
    </row>
    <row r="22" spans="1:5" x14ac:dyDescent="0.25">
      <c r="A22" s="14">
        <f>_xlfn.LET(rub,{"Disponibilidades";"Créditos por ventas";"Bienes de cambio";"Bienes de uso";"Deudas comerciales";"Deudas financieras"}, code,{1;1;2;2;3;4;4;5;6;6}, saldo,{380;220;2800;300;2600;480;420;1900;4200;2300}, bal,_xlfn.VSTACK(B6,B7,B8,B9,B10,B11), extr,_xlfn.MAP(_xlfn.SEQUENCE(6),_xlfn.LAMBDA(k,SUM(IF(code=k,saldo,0)))), dif,extr-bal, est,IF(ABS(dif)&lt;=B5,"OK","REVISAR"), _xlfn.HSTACK(rub,extr,bal,dif,est))</f>
      </c>
      <c r="B22" s="15"/>
      <c r="C22" s="15"/>
      <c r="D22" s="15"/>
      <c r="E22" s="16"/>
    </row>
    <row r="23" spans="1:5" x14ac:dyDescent="0.25">
      <c r="A23" s="14"/>
      <c r="B23" s="15"/>
      <c r="C23" s="15"/>
      <c r="D23" s="15"/>
      <c r="E23" s="16"/>
    </row>
    <row r="24" spans="1:5" x14ac:dyDescent="0.25">
      <c r="A24" s="14"/>
      <c r="B24" s="15"/>
      <c r="C24" s="15"/>
      <c r="D24" s="15"/>
      <c r="E24" s="16"/>
    </row>
    <row r="25" spans="1:5" x14ac:dyDescent="0.25">
      <c r="A25" s="14"/>
      <c r="B25" s="15"/>
      <c r="C25" s="15"/>
      <c r="D25" s="15"/>
      <c r="E25" s="16"/>
    </row>
    <row r="26" spans="1:5" x14ac:dyDescent="0.25">
      <c r="A26" s="14"/>
      <c r="B26" s="15"/>
      <c r="C26" s="15"/>
      <c r="D26" s="15"/>
      <c r="E26" s="16"/>
    </row>
    <row r="27" spans="1:5" x14ac:dyDescent="0.25">
      <c r="A27" s="14"/>
      <c r="B27" s="15"/>
      <c r="C27" s="15"/>
      <c r="D27" s="15"/>
      <c r="E27" s="16"/>
    </row>
    <row r="29" ht="22" customHeight="1" spans="1:4" x14ac:dyDescent="0.25">
      <c r="A29" s="3" t="s">
        <v>25</v>
      </c>
      <c r="B29" s="3"/>
      <c r="C29" s="3"/>
      <c r="D29" s="3"/>
    </row>
    <row r="30" ht="34" customHeight="1" spans="1:4" x14ac:dyDescent="0.25">
      <c r="A30" s="17" t="s">
        <v>26</v>
      </c>
      <c r="B30" s="18">
        <f>IF(ABS(B16)&lt;=B5,"La extracción concilia con el balance ("&amp;TEXT(B17,"0.00%")&amp;"): el circuito ERP→analítico es trazable.","Hay "&amp;TEXT(B16,"#,##0")&amp;" miles de diferencia ("&amp;TEXT(B17,"0.00%")&amp;" conciliado): revisar el mapeo del rubro marcado REVISAR antes de construir sobre estos datos.")</f>
      </c>
      <c r="C30" s="18"/>
      <c r="D30" s="18"/>
    </row>
    <row r="31" ht="34" customHeight="1" spans="1:4" x14ac:dyDescent="0.25">
      <c r="A31" s="17" t="s">
        <v>27</v>
      </c>
      <c r="B31" s="18">
        <f>"Cada saldo de este modelo debe poder reconstruirse desde una llamada auditada al servidor MCP de sólo lectura: consulta, parámetros, herramienta, dato y momento."</f>
      </c>
      <c r="C31" s="18"/>
      <c r="D31" s="18"/>
    </row>
    <row r="33" spans="1:4" x14ac:dyDescent="0.25">
      <c r="A33" s="19" t="s">
        <v>28</v>
      </c>
      <c r="B33" s="19"/>
      <c r="C33" s="19"/>
      <c r="D33" s="19"/>
    </row>
  </sheetData>
  <mergeCells count="10">
    <mergeCell ref="A1:D1"/>
    <mergeCell ref="A2:D2"/>
    <mergeCell ref="A4:D4"/>
    <mergeCell ref="A13:D13"/>
    <mergeCell ref="A19:D19"/>
    <mergeCell ref="A20:D20"/>
    <mergeCell ref="A29:D29"/>
    <mergeCell ref="B30:D30"/>
    <mergeCell ref="B31:D31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1.2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1.2 — Mapa contable-analítico y conciliación con el balance</dc:title>
  <dc:subject/>
  <dc:description/>
  <cp:keywords/>
  <cp:category/>
  <cp:lastModifiedBy>Unknown</cp:lastModifiedBy>
  <dcterms:created xsi:type="dcterms:W3CDTF">2026-08-29T12:57:51Z</dcterms:created>
  <dcterms:modified xsi:type="dcterms:W3CDTF">2026-08-29T12:57:51Z</dcterms:modified>
</cp:coreProperties>
</file>