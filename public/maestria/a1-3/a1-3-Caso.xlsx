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1.3" state="visible" r:id="rId4"/>
  </sheets>
  <calcPr calcId="171027"/>
</workbook>
</file>

<file path=xl/sharedStrings.xml><?xml version="1.0" encoding="utf-8"?>
<sst xmlns="http://schemas.openxmlformats.org/spreadsheetml/2006/main" count="30" uniqueCount="30">
  <si>
    <t>JPR CONSULTING · ASIGNATURA 1.3 — Matemática financiera del proyecto de ampliación</t>
  </si>
  <si>
    <t>Editá los flujos y las tasas (celdas marfil). El VAN, la TIR y el perfil descontado se calculan con matrices dinámicas: VSTACK arma el vector de flujos, SEQUENCE los años, y MAP/LAMBDA barren las tasas para hallar la TIR sin función caja-negra.</t>
  </si>
  <si>
    <t>1 · DATOS DE ENTRADA  (celdas marfil — editá acá)</t>
  </si>
  <si>
    <t>Año 0 — inversión</t>
  </si>
  <si>
    <t>miles $</t>
  </si>
  <si>
    <t>Año 1</t>
  </si>
  <si>
    <t>Año 2</t>
  </si>
  <si>
    <t>Año 3</t>
  </si>
  <si>
    <t>Año 4</t>
  </si>
  <si>
    <t>Año 5 (incl. recupero)</t>
  </si>
  <si>
    <t>Costo del capital (WACC)</t>
  </si>
  <si>
    <t>TNA de referencia (pesos)</t>
  </si>
  <si>
    <t>Capitalizaciones por año</t>
  </si>
  <si>
    <t>Inflación anual</t>
  </si>
  <si>
    <t>2 · CÁLCULOS E INDICADORES</t>
  </si>
  <si>
    <t>Tasa efectiva anual (TEA)</t>
  </si>
  <si>
    <t>Tasa real (Fisher, sobre TEA)</t>
  </si>
  <si>
    <t>VAN al WACC</t>
  </si>
  <si>
    <t>TIR (barrido de tasas)</t>
  </si>
  <si>
    <t>Índice de rentabilidad (PI)</t>
  </si>
  <si>
    <t>3 · Perfil del flujo descontado  (matriz dinámica · una fórmula derrama toda la tabla)</t>
  </si>
  <si>
    <t>SEQUENCE genera los años 0–5; VSTACK arma el vector de flujos; el factor y el valor presente se calculan de una sola vez. La suma de la última columna es el VAN.</t>
  </si>
  <si>
    <t>Año</t>
  </si>
  <si>
    <t>Flujo de fondos</t>
  </si>
  <si>
    <t>Factor de descuento</t>
  </si>
  <si>
    <t>Valor presente</t>
  </si>
  <si>
    <t>4 · CONCLUSIONES AUTOMÁTICAS</t>
  </si>
  <si>
    <t>Decisión</t>
  </si>
  <si>
    <t>Tasas</t>
  </si>
  <si>
    <t>JPR Consulting · Maestría en Finanzas Corporativas Aplicadas con IA · UNNE — Asignatura 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</si>
</sst>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color rgb="FF33373D"/>
      <sz val="10.5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FBFAF7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9" fontId="5" fillId="4" borderId="1" xfId="0" applyNumberFormat="1" applyFont="1" applyFill="1" applyBorder="1"/>
    <xf numFmtId="164" fontId="7" fillId="5" borderId="0" xfId="0" applyNumberFormat="1" applyFont="1" applyFill="1"/>
    <xf numFmtId="0" fontId="8" fillId="0" borderId="0" xfId="0" applyFont="1"/>
    <xf numFmtId="3" fontId="9" fillId="6" borderId="1" xfId="0" applyNumberFormat="1" applyFont="1" applyFill="1" applyBorder="1"/>
    <xf numFmtId="164" fontId="9" fillId="6" borderId="1" xfId="0" applyNumberFormat="1" applyFont="1" applyFill="1" applyBorder="1"/>
    <xf numFmtId="4" fontId="7" fillId="5" borderId="0" xfId="0" applyNumberFormat="1" applyFont="1" applyFill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3" fontId="12" fillId="0" borderId="0" xfId="0" applyNumberFormat="1" applyFont="1"/>
    <xf numFmtId="3" fontId="13" fillId="0" borderId="0" xfId="0" applyNumberFormat="1" applyFont="1"/>
    <xf numFmtId="165" fontId="13" fillId="0" borderId="0" xfId="0" applyNumberFormat="1" applyFont="1"/>
    <xf numFmtId="0" fontId="5" fillId="0" borderId="0" xfId="0" applyFont="1"/>
    <xf numFmtId="0" fontId="14" fillId="6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-8000</v>
      </c>
      <c r="C5" s="6" t="s">
        <v>4</v>
      </c>
    </row>
    <row r="6" spans="1:2" x14ac:dyDescent="0.25">
      <c r="A6" s="4" t="s">
        <v>5</v>
      </c>
      <c r="B6" s="5">
        <v>1900</v>
      </c>
    </row>
    <row r="7" spans="1:2" x14ac:dyDescent="0.25">
      <c r="A7" s="4" t="s">
        <v>6</v>
      </c>
      <c r="B7" s="5">
        <v>2100</v>
      </c>
    </row>
    <row r="8" spans="1:2" x14ac:dyDescent="0.25">
      <c r="A8" s="4" t="s">
        <v>7</v>
      </c>
      <c r="B8" s="5">
        <v>2300</v>
      </c>
    </row>
    <row r="9" spans="1:2" x14ac:dyDescent="0.25">
      <c r="A9" s="4" t="s">
        <v>8</v>
      </c>
      <c r="B9" s="5">
        <v>2400</v>
      </c>
    </row>
    <row r="10" spans="1:2" x14ac:dyDescent="0.25">
      <c r="A10" s="4" t="s">
        <v>9</v>
      </c>
      <c r="B10" s="5">
        <v>3800</v>
      </c>
    </row>
    <row r="11" spans="1:2" x14ac:dyDescent="0.25">
      <c r="A11" s="4" t="s">
        <v>10</v>
      </c>
      <c r="B11" s="7">
        <v>0.2</v>
      </c>
    </row>
    <row r="12" spans="1:2" x14ac:dyDescent="0.25">
      <c r="A12" s="4" t="s">
        <v>11</v>
      </c>
      <c r="B12" s="7">
        <v>0.85</v>
      </c>
    </row>
    <row r="13" spans="1:2" x14ac:dyDescent="0.25">
      <c r="A13" s="4" t="s">
        <v>12</v>
      </c>
      <c r="B13" s="5">
        <v>12</v>
      </c>
    </row>
    <row r="14" spans="1:2" x14ac:dyDescent="0.25">
      <c r="A14" s="4" t="s">
        <v>13</v>
      </c>
      <c r="B14" s="7">
        <v>0.6</v>
      </c>
    </row>
    <row r="16" ht="22" customHeight="1" spans="1:4" x14ac:dyDescent="0.25">
      <c r="A16" s="3" t="s">
        <v>14</v>
      </c>
      <c r="B16" s="3"/>
      <c r="C16" s="3"/>
      <c r="D16" s="3"/>
    </row>
    <row r="17" spans="1:2" x14ac:dyDescent="0.25">
      <c r="A17" s="4" t="s">
        <v>15</v>
      </c>
      <c r="B17" s="8">
        <f>(1+B12/B13)^B13-1</f>
      </c>
    </row>
    <row r="18" spans="1:2" x14ac:dyDescent="0.25">
      <c r="A18" s="4" t="s">
        <v>16</v>
      </c>
      <c r="B18" s="8">
        <f>(1+B17)/(1+B14)-1</f>
      </c>
    </row>
    <row r="19" spans="1:2" x14ac:dyDescent="0.25">
      <c r="A19" s="9" t="s">
        <v>17</v>
      </c>
      <c r="B19" s="10">
        <f>_xlfn.LET(cf,_xlfn.VSTACK(B5,B6,B7,B8,B9,B10), t,_xlfn.SEQUENCE(6,1,0), SUM(cf/(1+B11)^t))</f>
      </c>
    </row>
    <row r="20" spans="1:2" x14ac:dyDescent="0.25">
      <c r="A20" s="9" t="s">
        <v>18</v>
      </c>
      <c r="B20" s="11">
        <f>_xlfn.LET(cf,_xlfn.VSTACK(B5,B6,B7,B8,B9,B10), t,_xlfn.SEQUENCE(6,1,0), rates,_xlfn.SEQUENCE(2001,1,0,0.0005), npv,_xlfn.MAP(rates,_xlfn.LAMBDA(x,SUM(cf/(1+x)^t))), INDEX(rates,MATCH(MIN(ABS(npv)),ABS(npv),0)))</f>
      </c>
    </row>
    <row r="21" spans="1:2" x14ac:dyDescent="0.25">
      <c r="A21" s="4" t="s">
        <v>19</v>
      </c>
      <c r="B21" s="12">
        <f>(B19-B5)/(-B5)</f>
      </c>
    </row>
    <row r="23" ht="22" customHeight="1" spans="1:4" x14ac:dyDescent="0.25">
      <c r="A23" s="3" t="s">
        <v>20</v>
      </c>
      <c r="B23" s="3"/>
      <c r="C23" s="3"/>
      <c r="D23" s="3"/>
    </row>
    <row r="24" ht="24" customHeight="1" spans="1:4" x14ac:dyDescent="0.25">
      <c r="A24" s="13" t="s">
        <v>21</v>
      </c>
      <c r="B24" s="13"/>
      <c r="C24" s="13"/>
      <c r="D24" s="13"/>
    </row>
    <row r="25" ht="20" customHeight="1" spans="1:4" x14ac:dyDescent="0.25">
      <c r="A25" s="14" t="s">
        <v>22</v>
      </c>
      <c r="B25" s="14" t="s">
        <v>23</v>
      </c>
      <c r="C25" s="14" t="s">
        <v>24</v>
      </c>
      <c r="D25" s="14" t="s">
        <v>25</v>
      </c>
    </row>
    <row r="26" spans="1:4" x14ac:dyDescent="0.25">
      <c r="A26" s="15">
        <f>_xlfn.LET(t,_xlfn.SEQUENCE(6,1,0), cf,_xlfn.VSTACK(B5,B6,B7,B8,B9,B10), fac,1/(1+B11)^t, _xlfn.HSTACK(t,cf,fac,cf*fac))</f>
      </c>
      <c r="B26" s="16"/>
      <c r="C26" s="17"/>
      <c r="D26" s="16"/>
    </row>
    <row r="27" spans="1:4" x14ac:dyDescent="0.25">
      <c r="A27" s="15"/>
      <c r="B27" s="16"/>
      <c r="C27" s="17"/>
      <c r="D27" s="16"/>
    </row>
    <row r="28" spans="1:4" x14ac:dyDescent="0.25">
      <c r="A28" s="15"/>
      <c r="B28" s="16"/>
      <c r="C28" s="17"/>
      <c r="D28" s="16"/>
    </row>
    <row r="29" spans="1:4" x14ac:dyDescent="0.25">
      <c r="A29" s="15"/>
      <c r="B29" s="16"/>
      <c r="C29" s="17"/>
      <c r="D29" s="16"/>
    </row>
    <row r="30" spans="1:4" x14ac:dyDescent="0.25">
      <c r="A30" s="15"/>
      <c r="B30" s="16"/>
      <c r="C30" s="17"/>
      <c r="D30" s="16"/>
    </row>
    <row r="31" spans="1:4" x14ac:dyDescent="0.25">
      <c r="A31" s="15"/>
      <c r="B31" s="16"/>
      <c r="C31" s="17"/>
      <c r="D31" s="16"/>
    </row>
    <row r="33" ht="22" customHeight="1" spans="1:4" x14ac:dyDescent="0.25">
      <c r="A33" s="3" t="s">
        <v>26</v>
      </c>
      <c r="B33" s="3"/>
      <c r="C33" s="3"/>
      <c r="D33" s="3"/>
    </row>
    <row r="34" ht="34" customHeight="1" spans="1:4" x14ac:dyDescent="0.25">
      <c r="A34" s="18" t="s">
        <v>27</v>
      </c>
      <c r="B34" s="19">
        <f>IF(B19&gt;0,"VAN positivo ("&amp;TEXT(B19,"#,##0")&amp;"): el proyecto CREA valor. TIR "&amp;TEXT(B20,"0.0%")&amp;" &gt; WACC "&amp;TEXT(B11,"0.0%")&amp;".","VAN negativo ("&amp;TEXT(B19,"#,##0")&amp;"): el proyecto DESTRUYE valor. TIR "&amp;TEXT(B20,"0.0%")&amp;" &lt; WACC "&amp;TEXT(B11,"0.0%")&amp;" — crecer así resta, no suma (anticipa la paradoja de la 4.2).")</f>
      </c>
      <c r="C34" s="19"/>
      <c r="D34" s="19"/>
    </row>
    <row r="35" ht="34" customHeight="1" spans="1:4" x14ac:dyDescent="0.25">
      <c r="A35" s="18" t="s">
        <v>28</v>
      </c>
      <c r="B35" s="19">
        <f>"TNA "&amp;TEXT(B12,"0.0%")&amp;" equivale a una TEA de "&amp;TEXT(B17,"0.0%")&amp;"; en términos reales (inflación "&amp;TEXT(B14,"0.0%")&amp;") la tasa es "&amp;TEXT(B18,"0.0%")&amp;". La magnitud nominal engaña."</f>
      </c>
      <c r="C35" s="19"/>
      <c r="D35" s="19"/>
    </row>
    <row r="37" spans="1:4" x14ac:dyDescent="0.25">
      <c r="A37" s="20" t="s">
        <v>29</v>
      </c>
      <c r="B37" s="20"/>
      <c r="C37" s="20"/>
      <c r="D37" s="20"/>
    </row>
  </sheetData>
  <mergeCells count="10">
    <mergeCell ref="A1:D1"/>
    <mergeCell ref="A2:D2"/>
    <mergeCell ref="A4:D4"/>
    <mergeCell ref="A16:D16"/>
    <mergeCell ref="A23:D23"/>
    <mergeCell ref="A24:D24"/>
    <mergeCell ref="A33:D33"/>
    <mergeCell ref="B34:D34"/>
    <mergeCell ref="B35:D35"/>
    <mergeCell ref="A37:D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1.3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1.3 — Matemática financiera del proyecto de ampliación</dc:title>
  <dc:subject/>
  <dc:description/>
  <cp:keywords/>
  <cp:category/>
  <cp:lastModifiedBy>Unknown</cp:lastModifiedBy>
  <dcterms:created xsi:type="dcterms:W3CDTF">2026-08-18T11:02:53Z</dcterms:created>
  <dcterms:modified xsi:type="dcterms:W3CDTF">2026-08-18T11:02:53Z</dcterms:modified>
</cp:coreProperties>
</file>