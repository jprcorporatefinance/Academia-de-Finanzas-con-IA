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1.4" state="visible" r:id="rId4"/>
  </sheets>
  <calcPr calcId="171027"/>
</workbook>
</file>

<file path=xl/sharedStrings.xml><?xml version="1.0" encoding="utf-8"?>
<sst xmlns="http://schemas.openxmlformats.org/spreadsheetml/2006/main" count="32" uniqueCount="32">
  <si>
    <t>JPR CONSULTING · ASIGNATURA 1.4 — Tablero de generación de valor y las tres palancas</t>
  </si>
  <si>
    <t>Editá las celdas marfil. El tablero calcula ROIC, spread, EVA, EVA Margin y Momentum, y la matriz dinámica derrama el efecto de las tres palancas de valor sobre el EVA.</t>
  </si>
  <si>
    <t>1 · DATOS DE ENTRADA  (celdas marfil — editá acá)</t>
  </si>
  <si>
    <t>EBIT normalizado</t>
  </si>
  <si>
    <t>miles $</t>
  </si>
  <si>
    <t>Tasa impositiva efectiva</t>
  </si>
  <si>
    <t>Capital invertido operativo</t>
  </si>
  <si>
    <t>WACC</t>
  </si>
  <si>
    <t>Ventas</t>
  </si>
  <si>
    <t>EVA del período anterior</t>
  </si>
  <si>
    <t>Ventas del período anterior</t>
  </si>
  <si>
    <t>2 · CÁLCULOS E INDICADORES</t>
  </si>
  <si>
    <t>NOPAT</t>
  </si>
  <si>
    <t>ROIC</t>
  </si>
  <si>
    <t>Spread (ROIC − WACC)</t>
  </si>
  <si>
    <t>EVA</t>
  </si>
  <si>
    <t>EVA (por resultado residual, control)</t>
  </si>
  <si>
    <t>Debe coincidir con el EVA por diferencial.</t>
  </si>
  <si>
    <t>EVA Margin</t>
  </si>
  <si>
    <t>EVA Momentum</t>
  </si>
  <si>
    <t>MVA (perpetuidad, aprox.)</t>
  </si>
  <si>
    <t>Simplificación: valor de una corriente perpetua de EVA sin crecimiento.</t>
  </si>
  <si>
    <t>3 · Las tres palancas de valor  (matriz dinámica · una fórmula derrama toda la tabla)</t>
  </si>
  <si>
    <t>Una sola fórmula recalcula el EVA bajo cada palanca (todas parten del NOPAT y el capital base) y ordena su impacto. Muestra cuál mueve más el valor.</t>
  </si>
  <si>
    <t>Palanca</t>
  </si>
  <si>
    <t>EVA resultante</t>
  </si>
  <si>
    <t>Δ EVA vs base</t>
  </si>
  <si>
    <t>% mejora</t>
  </si>
  <si>
    <t>4 · CONCLUSIONES AUTOMÁTICAS</t>
  </si>
  <si>
    <t>Creación de valor</t>
  </si>
  <si>
    <t>Gestión (Momentum)</t>
  </si>
  <si>
    <t>JPR Consulting · Maestría en Finanzas Corporativas Aplicadas con IA · UNNE — Asignatura 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</si>
</sst>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164" fontId="9" fillId="6" borderId="1" xfId="0" applyNumberFormat="1" applyFont="1" applyFill="1" applyBorder="1"/>
    <xf numFmtId="3" fontId="9" fillId="6" borderId="1" xfId="0" applyNumberFormat="1" applyFont="1" applyFill="1" applyBorder="1"/>
    <xf numFmtId="0" fontId="10" fillId="0" borderId="0" xfId="0" applyFont="1"/>
    <xf numFmtId="10" fontId="7" fillId="5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9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3850</v>
      </c>
      <c r="C5" s="6" t="s">
        <v>4</v>
      </c>
    </row>
    <row r="6" spans="1:2" x14ac:dyDescent="0.25">
      <c r="A6" s="4" t="s">
        <v>5</v>
      </c>
      <c r="B6" s="7">
        <v>0.35</v>
      </c>
    </row>
    <row r="7" spans="1:2" x14ac:dyDescent="0.25">
      <c r="A7" s="4" t="s">
        <v>6</v>
      </c>
      <c r="B7" s="5">
        <v>11770</v>
      </c>
    </row>
    <row r="8" spans="1:2" x14ac:dyDescent="0.25">
      <c r="A8" s="4" t="s">
        <v>7</v>
      </c>
      <c r="B8" s="8">
        <v>0.2</v>
      </c>
    </row>
    <row r="9" spans="1:2" x14ac:dyDescent="0.25">
      <c r="A9" s="4" t="s">
        <v>8</v>
      </c>
      <c r="B9" s="5">
        <v>42000</v>
      </c>
    </row>
    <row r="10" spans="1:2" x14ac:dyDescent="0.25">
      <c r="A10" s="4" t="s">
        <v>9</v>
      </c>
      <c r="B10" s="5">
        <v>90</v>
      </c>
    </row>
    <row r="11" spans="1:2" x14ac:dyDescent="0.25">
      <c r="A11" s="4" t="s">
        <v>10</v>
      </c>
      <c r="B11" s="5">
        <v>38000</v>
      </c>
    </row>
    <row r="13" ht="22" customHeight="1" spans="1:4" x14ac:dyDescent="0.25">
      <c r="A13" s="3" t="s">
        <v>11</v>
      </c>
      <c r="B13" s="3"/>
      <c r="C13" s="3"/>
      <c r="D13" s="3"/>
    </row>
    <row r="14" spans="1:2" x14ac:dyDescent="0.25">
      <c r="A14" s="4" t="s">
        <v>12</v>
      </c>
      <c r="B14" s="9">
        <f>B5*(1-B6)</f>
      </c>
    </row>
    <row r="15" spans="1:2" x14ac:dyDescent="0.25">
      <c r="A15" s="10" t="s">
        <v>13</v>
      </c>
      <c r="B15" s="11">
        <f>B14/B7</f>
      </c>
    </row>
    <row r="16" spans="1:2" x14ac:dyDescent="0.25">
      <c r="A16" s="10" t="s">
        <v>14</v>
      </c>
      <c r="B16" s="11">
        <f>B15-B8</f>
      </c>
    </row>
    <row r="17" spans="1:2" x14ac:dyDescent="0.25">
      <c r="A17" s="10" t="s">
        <v>15</v>
      </c>
      <c r="B17" s="12">
        <f>B16*B7</f>
      </c>
    </row>
    <row r="18" spans="1:4" x14ac:dyDescent="0.25">
      <c r="A18" s="4" t="s">
        <v>16</v>
      </c>
      <c r="B18" s="9">
        <f>B14-B8*B7</f>
      </c>
      <c r="D18" s="13" t="s">
        <v>17</v>
      </c>
    </row>
    <row r="19" spans="1:2" x14ac:dyDescent="0.25">
      <c r="A19" s="4" t="s">
        <v>18</v>
      </c>
      <c r="B19" s="14">
        <f>B17/B9</f>
      </c>
    </row>
    <row r="20" spans="1:2" x14ac:dyDescent="0.25">
      <c r="A20" s="4" t="s">
        <v>19</v>
      </c>
      <c r="B20" s="14">
        <f>(B17-B10)/B11</f>
      </c>
    </row>
    <row r="21" spans="1:4" x14ac:dyDescent="0.25">
      <c r="A21" s="4" t="s">
        <v>20</v>
      </c>
      <c r="B21" s="9">
        <f>B17/B8</f>
      </c>
      <c r="D21" s="13" t="s">
        <v>21</v>
      </c>
    </row>
    <row r="23" ht="22" customHeight="1" spans="1:4" x14ac:dyDescent="0.25">
      <c r="A23" s="3" t="s">
        <v>22</v>
      </c>
      <c r="B23" s="3"/>
      <c r="C23" s="3"/>
      <c r="D23" s="3"/>
    </row>
    <row r="24" ht="24" customHeight="1" spans="1:4" x14ac:dyDescent="0.25">
      <c r="A24" s="15" t="s">
        <v>23</v>
      </c>
      <c r="B24" s="15"/>
      <c r="C24" s="15"/>
      <c r="D24" s="15"/>
    </row>
    <row r="25" ht="20" customHeight="1" spans="1:4" x14ac:dyDescent="0.25">
      <c r="A25" s="16" t="s">
        <v>24</v>
      </c>
      <c r="B25" s="16" t="s">
        <v>25</v>
      </c>
      <c r="C25" s="16" t="s">
        <v>26</v>
      </c>
      <c r="D25" s="16" t="s">
        <v>27</v>
      </c>
    </row>
    <row r="26" spans="1:4" x14ac:dyDescent="0.25">
      <c r="A26" s="17">
        <f>_xlfn.LET(base,B17, nopat,B14, cap,B7, w,B8, p1,(nopat*1.05)-w*cap, p2,nopat-w*(cap*0.9), p3,nopat-(w-0.01)*cap, nombres,{"+5% en NOPAT";"−10% en capital";"−1 pp en WACC"}, evas,_xlfn.VSTACK(p1,p2,p3), _xlfn.HSTACK(nombres,evas,evas-base,(evas-base)/ABS(base)))</f>
      </c>
      <c r="B26" s="18"/>
      <c r="C26" s="18"/>
      <c r="D26" s="19"/>
    </row>
    <row r="27" spans="1:4" x14ac:dyDescent="0.25">
      <c r="A27" s="17"/>
      <c r="B27" s="18"/>
      <c r="C27" s="18"/>
      <c r="D27" s="19"/>
    </row>
    <row r="28" spans="1:4" x14ac:dyDescent="0.25">
      <c r="A28" s="17"/>
      <c r="B28" s="18"/>
      <c r="C28" s="18"/>
      <c r="D28" s="19"/>
    </row>
    <row r="30" ht="22" customHeight="1" spans="1:4" x14ac:dyDescent="0.25">
      <c r="A30" s="3" t="s">
        <v>28</v>
      </c>
      <c r="B30" s="3"/>
      <c r="C30" s="3"/>
      <c r="D30" s="3"/>
    </row>
    <row r="31" ht="34" customHeight="1" spans="1:4" x14ac:dyDescent="0.25">
      <c r="A31" s="20" t="s">
        <v>29</v>
      </c>
      <c r="B31" s="21">
        <f>IF(B17&gt;0,"CREA valor: EVA "&amp;TEXT(B17,"#,##0")&amp;" (spread "&amp;TEXT(B16,"0.0%")&amp;"). Pero es fino: pequeñas variaciones del WACC lo pueden dar vuelta.","DESTRUYE valor: EVA "&amp;TEXT(B17,"#,##0")&amp;" (spread "&amp;TEXT(B16,"0.0%")&amp;").")</f>
      </c>
      <c r="C31" s="21"/>
      <c r="D31" s="21"/>
    </row>
    <row r="32" ht="34" customHeight="1" spans="1:4" x14ac:dyDescent="0.25">
      <c r="A32" s="20" t="s">
        <v>30</v>
      </c>
      <c r="B32" s="21">
        <f>IF(B20&gt;0,"EVA Momentum positivo ("&amp;TEXT(B20,"0.00%")&amp;"): la gestión mejoró la creación de valor respecto del período anterior.","EVA Momentum negativo: la creación de valor retrocedió.")</f>
      </c>
      <c r="C32" s="21"/>
      <c r="D32" s="21"/>
    </row>
    <row r="34" spans="1:4" x14ac:dyDescent="0.25">
      <c r="A34" s="22" t="s">
        <v>31</v>
      </c>
      <c r="B34" s="22"/>
      <c r="C34" s="22"/>
      <c r="D34" s="22"/>
    </row>
  </sheetData>
  <mergeCells count="10">
    <mergeCell ref="A1:D1"/>
    <mergeCell ref="A2:D2"/>
    <mergeCell ref="A4:D4"/>
    <mergeCell ref="A13:D13"/>
    <mergeCell ref="A23:D23"/>
    <mergeCell ref="A24:D24"/>
    <mergeCell ref="A30:D30"/>
    <mergeCell ref="B31:D31"/>
    <mergeCell ref="B32:D32"/>
    <mergeCell ref="A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1.4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1.4 — Tablero de generación de valor y las tres palancas</dc:title>
  <dc:subject/>
  <dc:description/>
  <cp:keywords/>
  <cp:category/>
  <cp:lastModifiedBy>Unknown</cp:lastModifiedBy>
  <dcterms:created xsi:type="dcterms:W3CDTF">2026-08-18T10:41:49Z</dcterms:created>
  <dcterms:modified xsi:type="dcterms:W3CDTF">2026-08-18T10:41:49Z</dcterms:modified>
</cp:coreProperties>
</file>