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1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<sst xmlns="http://schemas.openxmlformats.org/spreadsheetml/2006/main" count="32" uniqueCount="32">
  <si>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2.1 — Diagnóstico integral: DuPont de 5 factores, apalancamientos y equilibrio</t>
  </si>
  <si>
    <t>Editá las celdas marfil. El DuPont se descompone en cinco factores y SCAN muestra el producto acumulado hasta llegar al ROE. Se calculan GAO/GAF/GAT y el punto de equilibrio.</t>
  </si>
  <si>
    <t>1 · DATOS DE ENTRADA  (celdas marfil — editá acá)</t>
  </si>
  <si>
    <t>Ventas</t>
  </si>
  <si>
    <t>miles $</t>
  </si>
  <si>
    <t>Costos variables</t>
  </si>
  <si>
    <t>Costos fijos</t>
  </si>
  <si>
    <t>Intereses</t>
  </si>
  <si>
    <t>Tasa impositiva efectiva</t>
  </si>
  <si>
    <t>Activos (analíticos)</t>
  </si>
  <si>
    <t>Patrimonio neto ajustado</t>
  </si>
  <si>
    <t>2 · CÁLCULOS E INDICADORES</t>
  </si>
  <si>
    <t>Margen de contribución</t>
  </si>
  <si>
    <t>Margen de contribución %</t>
  </si>
  <si>
    <t>EBIT</t>
  </si>
  <si>
    <t>EBT</t>
  </si>
  <si>
    <t>Resultado neto</t>
  </si>
  <si>
    <t>ROE</t>
  </si>
  <si>
    <t>GAO (apalancamiento operativo)</t>
  </si>
  <si>
    <t>GAF (apalancamiento financiero)</t>
  </si>
  <si>
    <t>GAT (apalancamiento total)</t>
  </si>
  <si>
    <t>Punto de equilibrio económico</t>
  </si>
  <si>
    <t>Margen de seguridad</t>
  </si>
  <si>
    <t>3 · DuPont de 5 factores con producto acumulado (SCAN)  (matriz dinámica · una fórmula derrama toda la tabla)</t>
  </si>
  <si>
    <t>VSTACK arma los cinco factores; SCAN multiplica acumulando: la última fila del producto acumulado es exactamente el ROE. Muestra el aporte de cada factor.</t>
  </si>
  <si>
    <t>Factor</t>
  </si>
  <si>
    <t>Valor</t>
  </si>
  <si>
    <t>Producto acumulado</t>
  </si>
  <si>
    <t>4 · CONCLUSIONES AUTOMÁTICAS</t>
  </si>
  <si>
    <t>Origen del ROE</t>
  </si>
  <si>
    <t>Riesgo estructural</t>
  </si>
  <si>
    <t>JPR Consulting · Maestría en Finanzas Corporativas Aplicadas con IA · UNNE — Asignatura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</si>
</sst>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164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165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25200</v>
      </c>
    </row>
    <row r="7" spans="1:2" x14ac:dyDescent="0.25">
      <c r="A7" s="4" t="s">
        <v>6</v>
      </c>
      <c r="B7" s="5">
        <v>12950</v>
      </c>
    </row>
    <row r="8" spans="1:2" x14ac:dyDescent="0.25">
      <c r="A8" s="4" t="s">
        <v>7</v>
      </c>
      <c r="B8" s="5">
        <v>1150</v>
      </c>
    </row>
    <row r="9" spans="1:2" x14ac:dyDescent="0.25">
      <c r="A9" s="4" t="s">
        <v>8</v>
      </c>
      <c r="B9" s="7">
        <v>0.35</v>
      </c>
    </row>
    <row r="10" spans="1:2" x14ac:dyDescent="0.25">
      <c r="A10" s="4" t="s">
        <v>9</v>
      </c>
      <c r="B10" s="5">
        <v>13500</v>
      </c>
    </row>
    <row r="11" spans="1:2" x14ac:dyDescent="0.25">
      <c r="A11" s="4" t="s">
        <v>10</v>
      </c>
      <c r="B11" s="5">
        <v>5270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8">
        <f>B5-B6</f>
      </c>
    </row>
    <row r="15" spans="1:2" x14ac:dyDescent="0.25">
      <c r="A15" s="4" t="s">
        <v>13</v>
      </c>
      <c r="B15" s="9">
        <f>B14/B5</f>
      </c>
    </row>
    <row r="16" spans="1:2" x14ac:dyDescent="0.25">
      <c r="A16" s="4" t="s">
        <v>14</v>
      </c>
      <c r="B16" s="8">
        <f>B5-B6-B7</f>
      </c>
    </row>
    <row r="17" spans="1:2" x14ac:dyDescent="0.25">
      <c r="A17" s="4" t="s">
        <v>15</v>
      </c>
      <c r="B17" s="8">
        <f>B16-B8</f>
      </c>
    </row>
    <row r="18" spans="1:2" x14ac:dyDescent="0.25">
      <c r="A18" s="4" t="s">
        <v>16</v>
      </c>
      <c r="B18" s="8">
        <f>B17*(1-B9)</f>
      </c>
    </row>
    <row r="19" spans="1:2" x14ac:dyDescent="0.25">
      <c r="A19" s="10" t="s">
        <v>17</v>
      </c>
      <c r="B19" s="11">
        <f>B18/B11</f>
      </c>
    </row>
    <row r="20" spans="1:2" x14ac:dyDescent="0.25">
      <c r="A20" s="10" t="s">
        <v>18</v>
      </c>
      <c r="B20" s="12">
        <f>B14/B16</f>
      </c>
    </row>
    <row r="21" spans="1:2" x14ac:dyDescent="0.25">
      <c r="A21" s="4" t="s">
        <v>19</v>
      </c>
      <c r="B21" s="13">
        <f>B16/B17</f>
      </c>
    </row>
    <row r="22" spans="1:2" x14ac:dyDescent="0.25">
      <c r="A22" s="10" t="s">
        <v>20</v>
      </c>
      <c r="B22" s="12">
        <f>B20*B21</f>
      </c>
    </row>
    <row r="23" spans="1:2" x14ac:dyDescent="0.25">
      <c r="A23" s="10" t="s">
        <v>21</v>
      </c>
      <c r="B23" s="14">
        <f>B7/B15</f>
      </c>
    </row>
    <row r="24" spans="1:2" x14ac:dyDescent="0.25">
      <c r="A24" s="4" t="s">
        <v>22</v>
      </c>
      <c r="B24" s="9">
        <f>(B5-B23)/B5</f>
      </c>
    </row>
    <row r="26" ht="22" customHeight="1" spans="1:4" x14ac:dyDescent="0.25">
      <c r="A26" s="3" t="s">
        <v>23</v>
      </c>
      <c r="B26" s="3"/>
      <c r="C26" s="3"/>
      <c r="D26" s="3"/>
    </row>
    <row r="27" ht="24" customHeight="1" spans="1:4" x14ac:dyDescent="0.25">
      <c r="A27" s="15" t="s">
        <v>24</v>
      </c>
      <c r="B27" s="15"/>
      <c r="C27" s="15"/>
      <c r="D27" s="15"/>
    </row>
    <row r="28" ht="20" customHeight="1" spans="1:3" x14ac:dyDescent="0.25">
      <c r="A28" s="16" t="s">
        <v>25</v>
      </c>
      <c r="B28" s="16" t="s">
        <v>26</v>
      </c>
      <c r="C28" s="16" t="s">
        <v>27</v>
      </c>
    </row>
    <row r="29" spans="1:3" x14ac:dyDescent="0.25">
      <c r="A29" s="17">
        <f>_xlfn.LET(nombres,{"Carga fiscal (NI/EBT)";"Carga financiera (EBT/EBIT)";"Margen operativo (EBIT/Ventas)";"Rotación (Ventas/Activos)";"Multiplicador (Activos/PN)"}, f,_xlfn.VSTACK(B18/B17,B17/B16,B16/B5,B5/B10,B10/B11), acum,_xlfn.SCAN(1,f,_xlfn.LAMBDA(a,b,a*b)), _xlfn.HSTACK(nombres,f,acum))</f>
      </c>
      <c r="B29" s="18"/>
      <c r="C29" s="18"/>
    </row>
    <row r="30" spans="1:3" x14ac:dyDescent="0.25">
      <c r="A30" s="17"/>
      <c r="B30" s="18"/>
      <c r="C30" s="18"/>
    </row>
    <row r="31" spans="1:3" x14ac:dyDescent="0.25">
      <c r="A31" s="17"/>
      <c r="B31" s="18"/>
      <c r="C31" s="18"/>
    </row>
    <row r="32" spans="1:3" x14ac:dyDescent="0.25">
      <c r="A32" s="17"/>
      <c r="B32" s="18"/>
      <c r="C32" s="18"/>
    </row>
    <row r="33" spans="1:3" x14ac:dyDescent="0.25">
      <c r="A33" s="17"/>
      <c r="B33" s="18"/>
      <c r="C33" s="18"/>
    </row>
    <row r="35" ht="22" customHeight="1" spans="1:4" x14ac:dyDescent="0.25">
      <c r="A35" s="3" t="s">
        <v>28</v>
      </c>
      <c r="B35" s="3"/>
      <c r="C35" s="3"/>
      <c r="D35" s="3"/>
    </row>
    <row r="36" ht="34" customHeight="1" spans="1:4" x14ac:dyDescent="0.25">
      <c r="A36" s="19" t="s">
        <v>29</v>
      </c>
      <c r="B36" s="20">
        <f>"ROE "&amp;TEXT(B19,"0.0%")&amp;". El multiplicador financiero (Activos/PN = "&amp;TEXT(B10/B11,"0.00")&amp;") aporta buena parte: el retorno se apoya en el apalancamiento, no solo en la operación."</f>
      </c>
      <c r="C36" s="20"/>
      <c r="D36" s="20"/>
    </row>
    <row r="37" ht="34" customHeight="1" spans="1:4" x14ac:dyDescent="0.25">
      <c r="A37" s="19" t="s">
        <v>30</v>
      </c>
      <c r="B37" s="20">
        <f>IF(B22&gt;4,"GAT alto ("&amp;TEXT(B22,"0.0")&amp;"x): una caída de ventas se amplifica fuertemente. Empresa rentable pero frágil.","GAT moderado ("&amp;TEXT(B22,"0.0")&amp;"x).")&amp;" Margen de seguridad: "&amp;TEXT(B24,"0.0%")&amp;" sobre el punto de equilibrio."</f>
      </c>
      <c r="C37" s="20"/>
      <c r="D37" s="20"/>
    </row>
    <row r="39" spans="1:4" x14ac:dyDescent="0.25">
      <c r="A39" s="21" t="s">
        <v>31</v>
      </c>
      <c r="B39" s="21"/>
      <c r="C39" s="21"/>
      <c r="D39" s="21"/>
    </row>
  </sheetData>
  <mergeCells count="10">
    <mergeCell ref="A1:D1"/>
    <mergeCell ref="A2:D2"/>
    <mergeCell ref="A4:D4"/>
    <mergeCell ref="A13:D13"/>
    <mergeCell ref="A26:D26"/>
    <mergeCell ref="A27:D27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2.1 — Diagnóstico integral: DuPont de 5 factores, apalancamientos y equilibrio</dc:title>
  <dc:subject/>
  <dc:description/>
  <cp:keywords/>
  <cp:category/>
  <cp:lastModifiedBy>Unknown</cp:lastModifiedBy>
  <dcterms:created xsi:type="dcterms:W3CDTF">2026-08-18T19:15:05Z</dcterms:created>
  <dcterms:modified xsi:type="dcterms:W3CDTF">2026-08-18T19:15:05Z</dcterms:modified>
</cp:coreProperties>
</file>