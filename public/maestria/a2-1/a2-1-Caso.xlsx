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ig 2.1" state="visible" r:id="rId4"/>
  </sheets>
  <calcPr calcId="171027"/>
</workbook>
</file>

<file path=xl/sharedStrings.xml><?xml version="1.0" encoding="utf-8"?>
<sst xmlns="http://schemas.openxmlformats.org/spreadsheetml/2006/main" count="32" uniqueCount="32">
  <si>
    <t>JPR CONSULTING · ASIGNATURA 2.1 — Diagnóstico integral: DuPont de 5 factores, apalancamientos y equilibrio</t>
  </si>
  <si>
    <t>Editá las celdas marfil. El DuPont se descompone en cinco factores y SCAN muestra el producto acumulado hasta llegar al ROE. Se calculan GAO/GAF/GAT y el punto de equilibrio.</t>
  </si>
  <si>
    <t>1 · DATOS DE ENTRADA  (celdas marfil — editá acá)</t>
  </si>
  <si>
    <t>Ventas</t>
  </si>
  <si>
    <t>miles $</t>
  </si>
  <si>
    <t>Costos variables</t>
  </si>
  <si>
    <t>Costos fijos</t>
  </si>
  <si>
    <t>Intereses</t>
  </si>
  <si>
    <t>Tasa impositiva efectiva</t>
  </si>
  <si>
    <t>Activos (analíticos)</t>
  </si>
  <si>
    <t>Patrimonio neto ajustado</t>
  </si>
  <si>
    <t>2 · CÁLCULOS E INDICADORES</t>
  </si>
  <si>
    <t>Margen de contribución</t>
  </si>
  <si>
    <t>Margen de contribución %</t>
  </si>
  <si>
    <t>EBIT</t>
  </si>
  <si>
    <t>EBT</t>
  </si>
  <si>
    <t>Resultado neto</t>
  </si>
  <si>
    <t>ROE</t>
  </si>
  <si>
    <t>GAO (apalancamiento operativo)</t>
  </si>
  <si>
    <t>GAF (apalancamiento financiero)</t>
  </si>
  <si>
    <t>GAT (apalancamiento total)</t>
  </si>
  <si>
    <t>Punto de equilibrio económico</t>
  </si>
  <si>
    <t>Margen de seguridad</t>
  </si>
  <si>
    <t>3 · DuPont de 5 factores con producto acumulado (SCAN)  (matriz dinámica · una fórmula derrama toda la tabla)</t>
  </si>
  <si>
    <t>VSTACK arma los cinco factores; SCAN multiplica acumulando: la última fila del producto acumulado es exactamente el ROE. Muestra el aporte de cada factor.</t>
  </si>
  <si>
    <t>Factor</t>
  </si>
  <si>
    <t>Valor</t>
  </si>
  <si>
    <t>Producto acumulado</t>
  </si>
  <si>
    <t>4 · CONCLUSIONES AUTOMÁTICAS</t>
  </si>
  <si>
    <t>Origen del ROE</t>
  </si>
  <si>
    <t>Riesgo estructural</t>
  </si>
  <si>
    <t>JPR Consulting · Maestría en Finanzas Corporativas Aplicadas con IA · UNNE — Asignatura 2.1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</si>
</sst>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0&quot;x&quot;"/>
  </numFmts>
  <fonts count="16" x14ac:knownFonts="1">
    <font>
      <color theme="1"/>
      <family val="2"/>
      <scheme val="minor"/>
      <sz val="11"/>
      <name val="Calibri"/>
    </font>
    <font>
      <b/>
      <color rgb="FFF4F1EA"/>
      <sz val="13"/>
      <name val="IBM Plex Sans"/>
    </font>
    <font>
      <i/>
      <color rgb="FF5F646C"/>
      <sz val="9.5"/>
      <name val="IBM Plex Sans"/>
    </font>
    <font>
      <b/>
      <color rgb="FF8FD3B7"/>
      <sz val="10.5"/>
      <name val="IBM Plex Mono"/>
    </font>
    <font>
      <sz val="10.5"/>
      <name val="IBM Plex Sans"/>
    </font>
    <font>
      <b/>
      <color rgb="FF1A1D22"/>
      <sz val="10.5"/>
      <name val="IBM Plex Sans"/>
    </font>
    <font>
      <color rgb="FF5F646C"/>
      <sz val="9"/>
      <name val="IBM Plex Sans"/>
    </font>
    <font>
      <b/>
      <color rgb="FF33373D"/>
      <sz val="10.5"/>
      <name val="IBM Plex Sans"/>
    </font>
    <font>
      <b/>
      <sz val="10.5"/>
      <name val="IBM Plex Sans"/>
    </font>
    <font>
      <b/>
      <color rgb="FF0E4E3B"/>
      <sz val="10.5"/>
      <name val="IBM Plex Sans"/>
    </font>
    <font>
      <i/>
      <color rgb="FF8A8F97"/>
      <sz val="9"/>
      <name val="IBM Plex Sans"/>
    </font>
    <font>
      <b/>
      <color rgb="FFF4F1EA"/>
      <sz val="9.5"/>
      <name val="IBM Plex Sans"/>
    </font>
    <font>
      <color rgb="FF33373D"/>
      <sz val="9.5"/>
      <name val="IBM Plex Sans"/>
    </font>
    <font>
      <color rgb="FF33373D"/>
      <sz val="9.5"/>
      <name val="IBM Plex Mono"/>
    </font>
    <font>
      <color rgb="FF0E4E3B"/>
      <sz val="10.5"/>
      <name val="IBM Plex Sans"/>
    </font>
    <font>
      <color rgb="FF8A8F97"/>
      <sz val="8.5"/>
      <name val="IBM Plex Mono"/>
    </font>
  </fonts>
  <fills count="8">
    <fill>
      <patternFill patternType="none"/>
    </fill>
    <fill>
      <patternFill patternType="gray125"/>
    </fill>
    <fill>
      <patternFill patternType="solid">
        <fgColor rgb="FF0A0C0F"/>
      </patternFill>
    </fill>
    <fill>
      <patternFill patternType="solid">
        <fgColor rgb="FF12614A"/>
      </patternFill>
    </fill>
    <fill>
      <patternFill patternType="solid">
        <fgColor rgb="FFF4F1EA"/>
      </patternFill>
    </fill>
    <fill>
      <patternFill patternType="solid">
        <fgColor rgb="FFFBFAF7"/>
      </patternFill>
    </fill>
    <fill>
      <patternFill patternType="solid">
        <fgColor rgb="FFEFF7F2"/>
      </patternFill>
    </fill>
    <fill>
      <patternFill patternType="solid">
        <fgColor rgb="FF0E4E3B"/>
      </patternFill>
    </fill>
  </fills>
  <borders count="2">
    <border>
      <left/>
      <right/>
      <top/>
      <bottom/>
      <diagonal/>
    </border>
    <border>
      <left style="thin">
        <color rgb="FF1E8F6B"/>
      </left>
      <right style="thin">
        <color rgb="FF1E8F6B"/>
      </right>
      <top style="thin">
        <color rgb="FF1E8F6B"/>
      </top>
      <bottom style="thin">
        <color rgb="FF1E8F6B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vertical="center" wrapText="1"/>
    </xf>
    <xf numFmtId="0" fontId="3" fillId="3" borderId="0" xfId="0" applyFont="1" applyFill="1" applyAlignment="1">
      <alignment vertical="center" indent="1"/>
    </xf>
    <xf numFmtId="0" fontId="4" fillId="0" borderId="0" xfId="0" applyFont="1"/>
    <xf numFmtId="3" fontId="5" fillId="4" borderId="1" xfId="0" applyNumberFormat="1" applyFont="1" applyFill="1" applyBorder="1"/>
    <xf numFmtId="0" fontId="6" fillId="0" borderId="0" xfId="0" applyFont="1"/>
    <xf numFmtId="9" fontId="5" fillId="4" borderId="1" xfId="0" applyNumberFormat="1" applyFont="1" applyFill="1" applyBorder="1"/>
    <xf numFmtId="3" fontId="7" fillId="5" borderId="0" xfId="0" applyNumberFormat="1" applyFont="1" applyFill="1"/>
    <xf numFmtId="164" fontId="7" fillId="5" borderId="0" xfId="0" applyNumberFormat="1" applyFont="1" applyFill="1"/>
    <xf numFmtId="0" fontId="8" fillId="0" borderId="0" xfId="0" applyFont="1"/>
    <xf numFmtId="164" fontId="9" fillId="6" borderId="1" xfId="0" applyNumberFormat="1" applyFont="1" applyFill="1" applyBorder="1"/>
    <xf numFmtId="165" fontId="9" fillId="6" borderId="1" xfId="0" applyNumberFormat="1" applyFont="1" applyFill="1" applyBorder="1"/>
    <xf numFmtId="165" fontId="7" fillId="5" borderId="0" xfId="0" applyNumberFormat="1" applyFont="1" applyFill="1"/>
    <xf numFmtId="3" fontId="9" fillId="6" borderId="1" xfId="0" applyNumberFormat="1" applyFont="1" applyFill="1" applyBorder="1"/>
    <xf numFmtId="0" fontId="10" fillId="0" borderId="0" xfId="0" applyFont="1" applyAlignment="1">
      <alignment vertical="center" wrapText="1"/>
    </xf>
    <xf numFmtId="0" fontId="11" fillId="7" borderId="0" xfId="0" applyFont="1" applyFill="1" applyAlignment="1">
      <alignment vertical="center" wrapText="1"/>
    </xf>
    <xf numFmtId="0" fontId="12" fillId="0" borderId="0" xfId="0" applyFont="1"/>
    <xf numFmtId="4" fontId="13" fillId="0" borderId="0" xfId="0" applyNumberFormat="1" applyFont="1"/>
    <xf numFmtId="0" fontId="5" fillId="0" borderId="0" xfId="0" applyFont="1"/>
    <xf numFmtId="0" fontId="14" fillId="6" borderId="0" xfId="0" applyFont="1" applyFill="1" applyAlignment="1">
      <alignment vertical="center" wrapText="1" indent="1"/>
    </xf>
    <xf numFmtId="0" fontId="1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9"/>
  <sheetViews>
    <sheetView workbookViewId="0" showGridLines="0"/>
  </sheetViews>
  <sheetFormatPr defaultRowHeight="16" outlineLevelRow="0" outlineLevelCol="0" x14ac:dyDescent="55" customHeight="1"/>
  <cols>
    <col min="1" max="1" width="46" customWidth="1"/>
    <col min="2" max="2" width="18" customWidth="1"/>
    <col min="3" max="3" width="14" customWidth="1"/>
    <col min="4" max="4" width="58" customWidth="1"/>
  </cols>
  <sheetData>
    <row r="1" ht="28" customHeight="1" spans="1:4" x14ac:dyDescent="0.25">
      <c r="A1" s="1" t="s">
        <v>0</v>
      </c>
      <c r="B1" s="1"/>
      <c r="C1" s="1"/>
      <c r="D1" s="1"/>
    </row>
    <row r="2" ht="26" customHeight="1" spans="1:4" x14ac:dyDescent="0.25">
      <c r="A2" s="2" t="s">
        <v>1</v>
      </c>
      <c r="B2" s="2"/>
      <c r="C2" s="2"/>
      <c r="D2" s="2"/>
    </row>
    <row r="4" ht="22" customHeight="1" spans="1:4" x14ac:dyDescent="0.25">
      <c r="A4" s="3" t="s">
        <v>2</v>
      </c>
      <c r="B4" s="3"/>
      <c r="C4" s="3"/>
      <c r="D4" s="3"/>
    </row>
    <row r="5" spans="1:3" x14ac:dyDescent="0.25">
      <c r="A5" s="4" t="s">
        <v>3</v>
      </c>
      <c r="B5" s="5">
        <v>42000</v>
      </c>
      <c r="C5" s="6" t="s">
        <v>4</v>
      </c>
    </row>
    <row r="6" spans="1:2" x14ac:dyDescent="0.25">
      <c r="A6" s="4" t="s">
        <v>5</v>
      </c>
      <c r="B6" s="5">
        <v>25200</v>
      </c>
    </row>
    <row r="7" spans="1:2" x14ac:dyDescent="0.25">
      <c r="A7" s="4" t="s">
        <v>6</v>
      </c>
      <c r="B7" s="5">
        <v>12950</v>
      </c>
    </row>
    <row r="8" spans="1:2" x14ac:dyDescent="0.25">
      <c r="A8" s="4" t="s">
        <v>7</v>
      </c>
      <c r="B8" s="5">
        <v>1150</v>
      </c>
    </row>
    <row r="9" spans="1:2" x14ac:dyDescent="0.25">
      <c r="A9" s="4" t="s">
        <v>8</v>
      </c>
      <c r="B9" s="7">
        <v>0.35</v>
      </c>
    </row>
    <row r="10" spans="1:2" x14ac:dyDescent="0.25">
      <c r="A10" s="4" t="s">
        <v>9</v>
      </c>
      <c r="B10" s="5">
        <v>13500</v>
      </c>
    </row>
    <row r="11" spans="1:2" x14ac:dyDescent="0.25">
      <c r="A11" s="4" t="s">
        <v>10</v>
      </c>
      <c r="B11" s="5">
        <v>5270</v>
      </c>
    </row>
    <row r="13" ht="22" customHeight="1" spans="1:4" x14ac:dyDescent="0.25">
      <c r="A13" s="3" t="s">
        <v>11</v>
      </c>
      <c r="B13" s="3"/>
      <c r="C13" s="3"/>
      <c r="D13" s="3"/>
    </row>
    <row r="14" spans="1:2" x14ac:dyDescent="0.25">
      <c r="A14" s="4" t="s">
        <v>12</v>
      </c>
      <c r="B14" s="8">
        <f>B5-B6</f>
      </c>
    </row>
    <row r="15" spans="1:2" x14ac:dyDescent="0.25">
      <c r="A15" s="4" t="s">
        <v>13</v>
      </c>
      <c r="B15" s="9">
        <f>B14/B5</f>
      </c>
    </row>
    <row r="16" spans="1:2" x14ac:dyDescent="0.25">
      <c r="A16" s="4" t="s">
        <v>14</v>
      </c>
      <c r="B16" s="8">
        <f>B5-B6-B7</f>
      </c>
    </row>
    <row r="17" spans="1:2" x14ac:dyDescent="0.25">
      <c r="A17" s="4" t="s">
        <v>15</v>
      </c>
      <c r="B17" s="8">
        <f>B16-B8</f>
      </c>
    </row>
    <row r="18" spans="1:2" x14ac:dyDescent="0.25">
      <c r="A18" s="4" t="s">
        <v>16</v>
      </c>
      <c r="B18" s="8">
        <f>B17*(1-B9)</f>
      </c>
    </row>
    <row r="19" spans="1:2" x14ac:dyDescent="0.25">
      <c r="A19" s="10" t="s">
        <v>17</v>
      </c>
      <c r="B19" s="11">
        <f>B18/B11</f>
      </c>
    </row>
    <row r="20" spans="1:2" x14ac:dyDescent="0.25">
      <c r="A20" s="10" t="s">
        <v>18</v>
      </c>
      <c r="B20" s="12">
        <f>B14/B16</f>
      </c>
    </row>
    <row r="21" spans="1:2" x14ac:dyDescent="0.25">
      <c r="A21" s="4" t="s">
        <v>19</v>
      </c>
      <c r="B21" s="13">
        <f>B16/B17</f>
      </c>
    </row>
    <row r="22" spans="1:2" x14ac:dyDescent="0.25">
      <c r="A22" s="10" t="s">
        <v>20</v>
      </c>
      <c r="B22" s="12">
        <f>B20*B21</f>
      </c>
    </row>
    <row r="23" spans="1:2" x14ac:dyDescent="0.25">
      <c r="A23" s="10" t="s">
        <v>21</v>
      </c>
      <c r="B23" s="14">
        <f>B7/B15</f>
      </c>
    </row>
    <row r="24" spans="1:2" x14ac:dyDescent="0.25">
      <c r="A24" s="4" t="s">
        <v>22</v>
      </c>
      <c r="B24" s="9">
        <f>(B5-B23)/B5</f>
      </c>
    </row>
    <row r="26" ht="22" customHeight="1" spans="1:4" x14ac:dyDescent="0.25">
      <c r="A26" s="3" t="s">
        <v>23</v>
      </c>
      <c r="B26" s="3"/>
      <c r="C26" s="3"/>
      <c r="D26" s="3"/>
    </row>
    <row r="27" ht="24" customHeight="1" spans="1:4" x14ac:dyDescent="0.25">
      <c r="A27" s="15" t="s">
        <v>24</v>
      </c>
      <c r="B27" s="15"/>
      <c r="C27" s="15"/>
      <c r="D27" s="15"/>
    </row>
    <row r="28" ht="20" customHeight="1" spans="1:3" x14ac:dyDescent="0.25">
      <c r="A28" s="16" t="s">
        <v>25</v>
      </c>
      <c r="B28" s="16" t="s">
        <v>26</v>
      </c>
      <c r="C28" s="16" t="s">
        <v>27</v>
      </c>
    </row>
    <row r="29" spans="1:3" x14ac:dyDescent="0.25">
      <c r="A29" s="17">
        <f>_xlfn.LET(nombres,{"Carga fiscal (NI/EBT)";"Carga financiera (EBT/EBIT)";"Margen operativo (EBIT/Ventas)";"Rotación (Ventas/Activos)";"Multiplicador (Activos/PN)"}, f,_xlfn.VSTACK(B18/B17,B17/B16,B16/B5,B5/B10,B10/B11), acum,_xlfn.SCAN(1,f,_xlfn.LAMBDA(a,b,a*b)), _xlfn.HSTACK(nombres,f,acum))</f>
      </c>
      <c r="B29" s="18"/>
      <c r="C29" s="18"/>
    </row>
    <row r="30" spans="1:3" x14ac:dyDescent="0.25">
      <c r="A30" s="17"/>
      <c r="B30" s="18"/>
      <c r="C30" s="18"/>
    </row>
    <row r="31" spans="1:3" x14ac:dyDescent="0.25">
      <c r="A31" s="17"/>
      <c r="B31" s="18"/>
      <c r="C31" s="18"/>
    </row>
    <row r="32" spans="1:3" x14ac:dyDescent="0.25">
      <c r="A32" s="17"/>
      <c r="B32" s="18"/>
      <c r="C32" s="18"/>
    </row>
    <row r="33" spans="1:3" x14ac:dyDescent="0.25">
      <c r="A33" s="17"/>
      <c r="B33" s="18"/>
      <c r="C33" s="18"/>
    </row>
    <row r="35" ht="22" customHeight="1" spans="1:4" x14ac:dyDescent="0.25">
      <c r="A35" s="3" t="s">
        <v>28</v>
      </c>
      <c r="B35" s="3"/>
      <c r="C35" s="3"/>
      <c r="D35" s="3"/>
    </row>
    <row r="36" ht="34" customHeight="1" spans="1:4" x14ac:dyDescent="0.25">
      <c r="A36" s="19" t="s">
        <v>29</v>
      </c>
      <c r="B36" s="20">
        <f>"ROE "&amp;TEXT(B19,"0.0%")&amp;". El multiplicador financiero (Activos/PN = "&amp;TEXT(B10/B11,"0.00")&amp;") aporta buena parte: el retorno se apoya en el apalancamiento, no solo en la operación."</f>
      </c>
      <c r="C36" s="20"/>
      <c r="D36" s="20"/>
    </row>
    <row r="37" ht="34" customHeight="1" spans="1:4" x14ac:dyDescent="0.25">
      <c r="A37" s="19" t="s">
        <v>30</v>
      </c>
      <c r="B37" s="20">
        <f>IF(B22&gt;4,"GAT alto ("&amp;TEXT(B22,"0.0")&amp;"x): una caída de ventas se amplifica fuertemente. Empresa rentable pero frágil.","GAT moderado ("&amp;TEXT(B22,"0.0")&amp;"x).")&amp;" Margen de seguridad: "&amp;TEXT(B24,"0.0%")&amp;" sobre el punto de equilibrio."</f>
      </c>
      <c r="C37" s="20"/>
      <c r="D37" s="20"/>
    </row>
    <row r="39" spans="1:4" x14ac:dyDescent="0.25">
      <c r="A39" s="21" t="s">
        <v>31</v>
      </c>
      <c r="B39" s="21"/>
      <c r="C39" s="21"/>
      <c r="D39" s="21"/>
    </row>
  </sheetData>
  <mergeCells count="10">
    <mergeCell ref="A1:D1"/>
    <mergeCell ref="A2:D2"/>
    <mergeCell ref="A4:D4"/>
    <mergeCell ref="A13:D13"/>
    <mergeCell ref="A26:D26"/>
    <mergeCell ref="A27:D27"/>
    <mergeCell ref="A35:D35"/>
    <mergeCell ref="B36:D36"/>
    <mergeCell ref="B37:D37"/>
    <mergeCell ref="A39:D3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Asig 2.1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JPR Consulting · Maestría FC+IA · UNNE</dc:creator>
  <dc:title>Asignatura 2.1 — Diagnóstico integral: DuPont de 5 factores, apalancamientos y equilibrio</dc:title>
  <dc:subject/>
  <dc:description/>
  <cp:keywords/>
  <cp:category/>
  <cp:lastModifiedBy>Unknown</cp:lastModifiedBy>
  <dcterms:created xsi:type="dcterms:W3CDTF">2026-08-27T13:06:54Z</dcterms:created>
  <dcterms:modified xsi:type="dcterms:W3CDTF">2026-08-27T13:06:54Z</dcterms:modified>
</cp:coreProperties>
</file>