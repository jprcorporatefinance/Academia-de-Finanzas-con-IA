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 2.2" state="visible" r:id="rId4"/>
  </sheets>
  <calcPr calcId="171027"/>
</workbook>
</file>

<file path=xl/sharedStrings.xml><?xml version="1.0" encoding="utf-8"?>
<sst xmlns="http://schemas.openxmlformats.org/spreadsheetml/2006/main" count="41" uniqueCount="41">
  <si>
    <t>JPR CONSULTING · ASIGNATURA 2.2 — Insolvencia y calidad de ganancias: Altman Z′′, Beneish y Merton</t>
  </si>
  <si>
    <t>Editá las celdas marfil. El Z′′ y el M-Score se descomponen con matrices dinámicas (una fórmula derrama cada tabla de aportes), y se calculan la distancia al incumplimiento de Merton y la calificación sintética por XLOOKUP.</t>
  </si>
  <si>
    <t>1 · DATOS DE ENTRADA  (celdas marfil — editá acá)</t>
  </si>
  <si>
    <t>Capital de trabajo</t>
  </si>
  <si>
    <t>miles $</t>
  </si>
  <si>
    <t>Utilidades retenidas</t>
  </si>
  <si>
    <t>EBIT</t>
  </si>
  <si>
    <t>Activo total</t>
  </si>
  <si>
    <t>Valor libro del patrimonio</t>
  </si>
  <si>
    <t>Pasivo total</t>
  </si>
  <si>
    <t>Beneish DSRI</t>
  </si>
  <si>
    <t>Beneish GMI</t>
  </si>
  <si>
    <t>Beneish AQI</t>
  </si>
  <si>
    <t>Beneish SGI</t>
  </si>
  <si>
    <t>Beneish DEPI</t>
  </si>
  <si>
    <t>Beneish SGAI</t>
  </si>
  <si>
    <t>Beneish TATA</t>
  </si>
  <si>
    <t>Beneish LVGI</t>
  </si>
  <si>
    <t>Valor de los activos (Merton)</t>
  </si>
  <si>
    <t>Deuda (Merton)</t>
  </si>
  <si>
    <t>Volatilidad de los activos σ</t>
  </si>
  <si>
    <t>Deriva μ</t>
  </si>
  <si>
    <t>Cobertura de intereses (EBIT/Int.)</t>
  </si>
  <si>
    <t>2 · CÁLCULOS E INDICADORES</t>
  </si>
  <si>
    <t>Altman Z′′</t>
  </si>
  <si>
    <t>Beneish M-Score</t>
  </si>
  <si>
    <t>Distancia al incumplimiento (Merton)</t>
  </si>
  <si>
    <t>Probabilidad de default (Merton)</t>
  </si>
  <si>
    <t>Default spread (rating sintético)</t>
  </si>
  <si>
    <t>Rating sintético</t>
  </si>
  <si>
    <t>3 · Descomposición del Altman Z′′  (matriz dinámica · una fórmula derrama toda la tabla)</t>
  </si>
  <si>
    <t>VSTACK arma las cuatro razones; el aporte de cada una es Xi × ponderador. La suma de la última columna es el Z′′.</t>
  </si>
  <si>
    <t>Componente</t>
  </si>
  <si>
    <t>Valor Xi</t>
  </si>
  <si>
    <t>Ponderador</t>
  </si>
  <si>
    <t>Aporte</t>
  </si>
  <si>
    <t>4 · CONCLUSIONES AUTOMÁTICAS</t>
  </si>
  <si>
    <t>Insolvencia (Altman)</t>
  </si>
  <si>
    <t>Manipulación (Beneish)</t>
  </si>
  <si>
    <t>Merton y rating</t>
  </si>
  <si>
    <t>JPR Consulting · Maestría en Finanzas Corporativas Aplicadas con IA · UNNE — Asignatura 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</si>
</sst>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x&quot;"/>
    <numFmt numFmtId="165" formatCode="0.0%"/>
  </numFmts>
  <fonts count="16" x14ac:knownFonts="1">
    <font>
      <color theme="1"/>
      <family val="2"/>
      <scheme val="minor"/>
      <sz val="11"/>
      <name val="Calibri"/>
    </font>
    <font>
      <b/>
      <color rgb="FFF4F1EA"/>
      <sz val="13"/>
      <name val="IBM Plex Sans"/>
    </font>
    <font>
      <i/>
      <color rgb="FF5F646C"/>
      <sz val="9.5"/>
      <name val="IBM Plex Sans"/>
    </font>
    <font>
      <b/>
      <color rgb="FF8FD3B7"/>
      <sz val="10.5"/>
      <name val="IBM Plex Mono"/>
    </font>
    <font>
      <sz val="10.5"/>
      <name val="IBM Plex Sans"/>
    </font>
    <font>
      <b/>
      <color rgb="FF1A1D22"/>
      <sz val="10.5"/>
      <name val="IBM Plex Sans"/>
    </font>
    <font>
      <color rgb="FF5F646C"/>
      <sz val="9"/>
      <name val="IBM Plex Sans"/>
    </font>
    <font>
      <b/>
      <sz val="10.5"/>
      <name val="IBM Plex Sans"/>
    </font>
    <font>
      <b/>
      <color rgb="FF0E4E3B"/>
      <sz val="10.5"/>
      <name val="IBM Plex Sans"/>
    </font>
    <font>
      <b/>
      <color rgb="FF33373D"/>
      <sz val="10.5"/>
      <name val="IBM Plex Sans"/>
    </font>
    <font>
      <i/>
      <color rgb="FF8A8F97"/>
      <sz val="9"/>
      <name val="IBM Plex Sans"/>
    </font>
    <font>
      <b/>
      <color rgb="FFF4F1EA"/>
      <sz val="9.5"/>
      <name val="IBM Plex Sans"/>
    </font>
    <font>
      <color rgb="FF33373D"/>
      <sz val="9.5"/>
      <name val="IBM Plex Sans"/>
    </font>
    <font>
      <color rgb="FF33373D"/>
      <sz val="9.5"/>
      <name val="IBM Plex Mono"/>
    </font>
    <font>
      <color rgb="FF0E4E3B"/>
      <sz val="10.5"/>
      <name val="IBM Plex Sans"/>
    </font>
    <font>
      <color rgb="FF8A8F97"/>
      <sz val="8.5"/>
      <name val="IBM Plex Mono"/>
    </font>
  </fonts>
  <fills count="8">
    <fill>
      <patternFill patternType="none"/>
    </fill>
    <fill>
      <patternFill patternType="gray125"/>
    </fill>
    <fill>
      <patternFill patternType="solid">
        <fgColor rgb="FF0A0C0F"/>
      </patternFill>
    </fill>
    <fill>
      <patternFill patternType="solid">
        <fgColor rgb="FF12614A"/>
      </patternFill>
    </fill>
    <fill>
      <patternFill patternType="solid">
        <fgColor rgb="FFF4F1EA"/>
      </patternFill>
    </fill>
    <fill>
      <patternFill patternType="solid">
        <fgColor rgb="FFEFF7F2"/>
      </patternFill>
    </fill>
    <fill>
      <patternFill patternType="solid">
        <fgColor rgb="FFFBFAF7"/>
      </patternFill>
    </fill>
    <fill>
      <patternFill patternType="solid">
        <fgColor rgb="FF0E4E3B"/>
      </patternFill>
    </fill>
  </fills>
  <borders count="2">
    <border>
      <left/>
      <right/>
      <top/>
      <bottom/>
      <diagonal/>
    </border>
    <border>
      <left style="thin">
        <color rgb="FF1E8F6B"/>
      </left>
      <right style="thin">
        <color rgb="FF1E8F6B"/>
      </right>
      <top style="thin">
        <color rgb="FF1E8F6B"/>
      </top>
      <bottom style="thin">
        <color rgb="FF1E8F6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indent="1"/>
    </xf>
    <xf numFmtId="0" fontId="4" fillId="0" borderId="0" xfId="0" applyFont="1"/>
    <xf numFmtId="3" fontId="5" fillId="4" borderId="1" xfId="0" applyNumberFormat="1" applyFont="1" applyFill="1" applyBorder="1"/>
    <xf numFmtId="0" fontId="6" fillId="0" borderId="0" xfId="0" applyFont="1"/>
    <xf numFmtId="4" fontId="5" fillId="4" borderId="1" xfId="0" applyNumberFormat="1" applyFont="1" applyFill="1" applyBorder="1"/>
    <xf numFmtId="9" fontId="5" fillId="4" borderId="1" xfId="0" applyNumberFormat="1" applyFont="1" applyFill="1" applyBorder="1"/>
    <xf numFmtId="164" fontId="5" fillId="4" borderId="1" xfId="0" applyNumberFormat="1" applyFont="1" applyFill="1" applyBorder="1"/>
    <xf numFmtId="0" fontId="7" fillId="0" borderId="0" xfId="0" applyFont="1"/>
    <xf numFmtId="4" fontId="8" fillId="5" borderId="1" xfId="0" applyNumberFormat="1" applyFont="1" applyFill="1" applyBorder="1"/>
    <xf numFmtId="10" fontId="8" fillId="5" borderId="1" xfId="0" applyNumberFormat="1" applyFont="1" applyFill="1" applyBorder="1"/>
    <xf numFmtId="165" fontId="9" fillId="6" borderId="0" xfId="0" applyNumberFormat="1" applyFont="1" applyFill="1"/>
    <xf numFmtId="0" fontId="9" fillId="6" borderId="0" xfId="0" applyFont="1" applyFill="1"/>
    <xf numFmtId="0" fontId="10" fillId="0" borderId="0" xfId="0" applyFont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12" fillId="0" borderId="0" xfId="0" applyFont="1"/>
    <xf numFmtId="4" fontId="13" fillId="0" borderId="0" xfId="0" applyNumberFormat="1" applyFont="1"/>
    <xf numFmtId="0" fontId="5" fillId="0" borderId="0" xfId="0" applyFont="1"/>
    <xf numFmtId="0" fontId="14" fillId="5" borderId="0" xfId="0" applyFont="1" applyFill="1" applyAlignment="1">
      <alignment vertical="center" wrapText="1" inden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workbookViewId="0" showGridLines="0"/>
  </sheetViews>
  <sheetFormatPr defaultRowHeight="16" outlineLevelRow="0" outlineLevelCol="0" x14ac:dyDescent="55" customHeight="1"/>
  <cols>
    <col min="1" max="1" width="46" customWidth="1"/>
    <col min="2" max="2" width="18" customWidth="1"/>
    <col min="3" max="3" width="14" customWidth="1"/>
    <col min="4" max="4" width="5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26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3"/>
      <c r="C4" s="3"/>
      <c r="D4" s="3"/>
    </row>
    <row r="5" spans="1:3" x14ac:dyDescent="0.25">
      <c r="A5" s="4" t="s">
        <v>3</v>
      </c>
      <c r="B5" s="5">
        <v>3870</v>
      </c>
      <c r="C5" s="6" t="s">
        <v>4</v>
      </c>
    </row>
    <row r="6" spans="1:2" x14ac:dyDescent="0.25">
      <c r="A6" s="4" t="s">
        <v>5</v>
      </c>
      <c r="B6" s="5">
        <v>2200</v>
      </c>
    </row>
    <row r="7" spans="1:2" x14ac:dyDescent="0.25">
      <c r="A7" s="4" t="s">
        <v>6</v>
      </c>
      <c r="B7" s="5">
        <v>3850</v>
      </c>
    </row>
    <row r="8" spans="1:2" x14ac:dyDescent="0.25">
      <c r="A8" s="4" t="s">
        <v>7</v>
      </c>
      <c r="B8" s="5">
        <v>13500</v>
      </c>
    </row>
    <row r="9" spans="1:2" x14ac:dyDescent="0.25">
      <c r="A9" s="4" t="s">
        <v>8</v>
      </c>
      <c r="B9" s="5">
        <v>5270</v>
      </c>
    </row>
    <row r="10" spans="1:2" x14ac:dyDescent="0.25">
      <c r="A10" s="4" t="s">
        <v>9</v>
      </c>
      <c r="B10" s="5">
        <v>8230</v>
      </c>
    </row>
    <row r="11" spans="1:2" x14ac:dyDescent="0.25">
      <c r="A11" s="4" t="s">
        <v>10</v>
      </c>
      <c r="B11" s="7">
        <v>1.1</v>
      </c>
    </row>
    <row r="12" spans="1:2" x14ac:dyDescent="0.25">
      <c r="A12" s="4" t="s">
        <v>11</v>
      </c>
      <c r="B12" s="7">
        <v>1.05</v>
      </c>
    </row>
    <row r="13" spans="1:2" x14ac:dyDescent="0.25">
      <c r="A13" s="4" t="s">
        <v>12</v>
      </c>
      <c r="B13" s="7">
        <v>1</v>
      </c>
    </row>
    <row r="14" spans="1:2" x14ac:dyDescent="0.25">
      <c r="A14" s="4" t="s">
        <v>13</v>
      </c>
      <c r="B14" s="7">
        <v>1.11</v>
      </c>
    </row>
    <row r="15" spans="1:2" x14ac:dyDescent="0.25">
      <c r="A15" s="4" t="s">
        <v>14</v>
      </c>
      <c r="B15" s="7">
        <v>0.98</v>
      </c>
    </row>
    <row r="16" spans="1:2" x14ac:dyDescent="0.25">
      <c r="A16" s="4" t="s">
        <v>15</v>
      </c>
      <c r="B16" s="7">
        <v>1.02</v>
      </c>
    </row>
    <row r="17" spans="1:2" x14ac:dyDescent="0.25">
      <c r="A17" s="4" t="s">
        <v>16</v>
      </c>
      <c r="B17" s="7">
        <v>0.02</v>
      </c>
    </row>
    <row r="18" spans="1:2" x14ac:dyDescent="0.25">
      <c r="A18" s="4" t="s">
        <v>17</v>
      </c>
      <c r="B18" s="7">
        <v>1.03</v>
      </c>
    </row>
    <row r="19" spans="1:2" x14ac:dyDescent="0.25">
      <c r="A19" s="4" t="s">
        <v>18</v>
      </c>
      <c r="B19" s="5">
        <v>13500</v>
      </c>
    </row>
    <row r="20" spans="1:2" x14ac:dyDescent="0.25">
      <c r="A20" s="4" t="s">
        <v>19</v>
      </c>
      <c r="B20" s="5">
        <v>6500</v>
      </c>
    </row>
    <row r="21" spans="1:2" x14ac:dyDescent="0.25">
      <c r="A21" s="4" t="s">
        <v>20</v>
      </c>
      <c r="B21" s="8">
        <v>0.35</v>
      </c>
    </row>
    <row r="22" spans="1:2" x14ac:dyDescent="0.25">
      <c r="A22" s="4" t="s">
        <v>21</v>
      </c>
      <c r="B22" s="8">
        <v>0.1</v>
      </c>
    </row>
    <row r="23" spans="1:2" x14ac:dyDescent="0.25">
      <c r="A23" s="4" t="s">
        <v>22</v>
      </c>
      <c r="B23" s="9">
        <v>3.35</v>
      </c>
    </row>
    <row r="25" ht="22" customHeight="1" spans="1:4" x14ac:dyDescent="0.25">
      <c r="A25" s="3" t="s">
        <v>23</v>
      </c>
      <c r="B25" s="3"/>
      <c r="C25" s="3"/>
      <c r="D25" s="3"/>
    </row>
    <row r="26" spans="1:2" x14ac:dyDescent="0.25">
      <c r="A26" s="10" t="s">
        <v>24</v>
      </c>
      <c r="B26" s="11">
        <f>6.56*(B5/B8)+3.26*(B6/B8)+6.72*(B7/B8)+1.05*(B9/B10)</f>
      </c>
    </row>
    <row r="27" spans="1:2" x14ac:dyDescent="0.25">
      <c r="A27" s="10" t="s">
        <v>25</v>
      </c>
      <c r="B27" s="11">
        <f>-4.84+0.920*B11+0.528*B12+0.404*B13+0.892*B14+0.115*B15-0.172*B16+4.679*B17-0.327*B18</f>
      </c>
    </row>
    <row r="28" spans="1:2" x14ac:dyDescent="0.25">
      <c r="A28" s="10" t="s">
        <v>26</v>
      </c>
      <c r="B28" s="11">
        <f>(LN(B19/B20)+(B22-B21^2/2))/(B21)</f>
      </c>
    </row>
    <row r="29" spans="1:2" x14ac:dyDescent="0.25">
      <c r="A29" s="10" t="s">
        <v>27</v>
      </c>
      <c r="B29" s="12">
        <f>_xlfn.NORM.S.DIST(-B28,TRUE)</f>
      </c>
    </row>
    <row r="30" spans="1:2" x14ac:dyDescent="0.25">
      <c r="A30" s="4" t="s">
        <v>28</v>
      </c>
      <c r="B30" s="13">
        <f>_xlfn.XLOOKUP(B23,{0;0.5;0.8;1.25;1.5;2;2.5;3;4.25;5.5;6.5},{0.20;0.15;0.11;0.09;0.075;0.055;0.04;0.035;0.03;0.025;0.02},0.02,-1)</f>
      </c>
    </row>
    <row r="31" spans="1:2" x14ac:dyDescent="0.25">
      <c r="A31" s="4" t="s">
        <v>29</v>
      </c>
      <c r="B31" s="14">
        <f>_xlfn.XLOOKUP(B23,{0;0.5;0.8;1.25;1.5;2;2.5;3;4.25;5.5;6.5},{"D";"C";"CCC";"B";"B+";"BB";"BB+";"BBB";"A-";"A";"AA"},"D",-1)</f>
      </c>
    </row>
    <row r="33" ht="22" customHeight="1" spans="1:4" x14ac:dyDescent="0.25">
      <c r="A33" s="3" t="s">
        <v>30</v>
      </c>
      <c r="B33" s="3"/>
      <c r="C33" s="3"/>
      <c r="D33" s="3"/>
    </row>
    <row r="34" ht="24" customHeight="1" spans="1:4" x14ac:dyDescent="0.25">
      <c r="A34" s="15" t="s">
        <v>31</v>
      </c>
      <c r="B34" s="15"/>
      <c r="C34" s="15"/>
      <c r="D34" s="15"/>
    </row>
    <row r="35" ht="20" customHeight="1" spans="1:4" x14ac:dyDescent="0.25">
      <c r="A35" s="16" t="s">
        <v>32</v>
      </c>
      <c r="B35" s="16" t="s">
        <v>33</v>
      </c>
      <c r="C35" s="16" t="s">
        <v>34</v>
      </c>
      <c r="D35" s="16" t="s">
        <v>35</v>
      </c>
    </row>
    <row r="36" spans="1:4" x14ac:dyDescent="0.25">
      <c r="A36" s="17">
        <f>_xlfn.LET(nom,{"X1 Capital trabajo/Activo";"X2 Ut. retenidas/Activo";"X3 EBIT/Activo";"X4 Patrimonio/Pasivo"}, x,_xlfn.VSTACK(B5/B8,B6/B8,B7/B8,B9/B10), w,{6.56;3.26;6.72;1.05}, _xlfn.HSTACK(nom,x,w,x*w))</f>
      </c>
      <c r="B36" s="18"/>
      <c r="C36" s="18"/>
      <c r="D36" s="18"/>
    </row>
    <row r="37" spans="1:4" x14ac:dyDescent="0.25">
      <c r="A37" s="17"/>
      <c r="B37" s="18"/>
      <c r="C37" s="18"/>
      <c r="D37" s="18"/>
    </row>
    <row r="38" spans="1:4" x14ac:dyDescent="0.25">
      <c r="A38" s="17"/>
      <c r="B38" s="18"/>
      <c r="C38" s="18"/>
      <c r="D38" s="18"/>
    </row>
    <row r="39" spans="1:4" x14ac:dyDescent="0.25">
      <c r="A39" s="17"/>
      <c r="B39" s="18"/>
      <c r="C39" s="18"/>
      <c r="D39" s="18"/>
    </row>
    <row r="41" ht="22" customHeight="1" spans="1:4" x14ac:dyDescent="0.25">
      <c r="A41" s="3" t="s">
        <v>36</v>
      </c>
      <c r="B41" s="3"/>
      <c r="C41" s="3"/>
      <c r="D41" s="3"/>
    </row>
    <row r="42" ht="34" customHeight="1" spans="1:4" x14ac:dyDescent="0.25">
      <c r="A42" s="19" t="s">
        <v>37</v>
      </c>
      <c r="B42" s="20">
        <f>IF(B26&gt;2.6,"Z′′ = "&amp;TEXT(B26,"0.00")&amp;": ZONA SEGURA. Bajo riesgo de insolvencia por solvencia patrimonial.",IF(B26&gt;=1.1,"Z′′ = "&amp;TEXT(B26,"0.00")&amp;": ZONA GRIS, vigilar.","Z′′ = "&amp;TEXT(B26,"0.00")&amp;": ZONA DE PELIGRO."))</f>
      </c>
      <c r="C42" s="20"/>
      <c r="D42" s="20"/>
    </row>
    <row r="43" ht="34" customHeight="1" spans="1:4" x14ac:dyDescent="0.25">
      <c r="A43" s="19" t="s">
        <v>38</v>
      </c>
      <c r="B43" s="20">
        <f>IF(B27&gt;-1.78,"M-Score = "&amp;TEXT(B27,"0.00")&amp;" &gt; −1,78: revisar con cuidado, hay señales.","M-Score = "&amp;TEXT(B27,"0.00")&amp;" &lt; −1,78: sin indicios fuertes de manipulación.")</f>
      </c>
      <c r="C43" s="20"/>
      <c r="D43" s="20"/>
    </row>
    <row r="44" ht="34" customHeight="1" spans="1:4" x14ac:dyDescent="0.25">
      <c r="A44" s="19" t="s">
        <v>39</v>
      </c>
      <c r="B44" s="20">
        <f>"Distancia al incumplimiento "&amp;TEXT(B28,"0.00")&amp;", PD "&amp;TEXT(B29,"0.00%")&amp;". Calificación sintética "&amp;B31&amp;" → Kd = Rf + "&amp;TEXT(B30,"0.0%")&amp;". Solvencia OK no implica liquidez OK (ver 4.3)."</f>
      </c>
      <c r="C44" s="20"/>
      <c r="D44" s="20"/>
    </row>
    <row r="46" spans="1:4" x14ac:dyDescent="0.25">
      <c r="A46" s="21" t="s">
        <v>40</v>
      </c>
      <c r="B46" s="21"/>
      <c r="C46" s="21"/>
      <c r="D46" s="21"/>
    </row>
  </sheetData>
  <mergeCells count="11">
    <mergeCell ref="A1:D1"/>
    <mergeCell ref="A2:D2"/>
    <mergeCell ref="A4:D4"/>
    <mergeCell ref="A25:D25"/>
    <mergeCell ref="A33:D33"/>
    <mergeCell ref="A34:D34"/>
    <mergeCell ref="A41:D41"/>
    <mergeCell ref="B42:D42"/>
    <mergeCell ref="B43:D43"/>
    <mergeCell ref="B44:D44"/>
    <mergeCell ref="A46:D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 2.2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 Consulting · Maestría FC+IA · UNNE</dc:creator>
  <dc:title>Asignatura 2.2 — Insolvencia y calidad de ganancias: Altman Z′′, Beneish y Merton</dc:title>
  <dc:subject/>
  <dc:description/>
  <cp:keywords/>
  <cp:category/>
  <cp:lastModifiedBy>Unknown</cp:lastModifiedBy>
  <dcterms:created xsi:type="dcterms:W3CDTF">2026-08-18T14:29:18Z</dcterms:created>
  <dcterms:modified xsi:type="dcterms:W3CDTF">2026-08-18T14:29:18Z</dcterms:modified>
</cp:coreProperties>
</file>