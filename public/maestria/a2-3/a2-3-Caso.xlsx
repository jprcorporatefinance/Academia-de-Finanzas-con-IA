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2.3" state="visible" r:id="rId4"/>
  </sheets>
  <calcPr calcId="171027"/>
</workbook>
</file>

<file path=xl/sharedStrings.xml><?xml version="1.0" encoding="utf-8"?>
<sst xmlns="http://schemas.openxmlformats.org/spreadsheetml/2006/main" count="27" uniqueCount="27">
  <si>
    <t>JPR CONSULTING · ASIGNATURA 2.3 — Amortización francesa con SCAN y capa de red neuronal con MMULT</t>
  </si>
  <si>
    <t>Editá capital, tasa y plazo (celdas marfil). La tabla de amortización deriva de UNA fórmula con SCAN (sin arrastrar): cambiá el plazo y la tabla se ajusta sola. La capa de red neuronal se calcula con MMULT.</t>
  </si>
  <si>
    <t>1 · DATOS DE ENTRADA  (celdas marfil — editá acá)</t>
  </si>
  <si>
    <t>Capital (principal)</t>
  </si>
  <si>
    <t>miles $</t>
  </si>
  <si>
    <t>Tasa mensual</t>
  </si>
  <si>
    <t>Plazo (meses)</t>
  </si>
  <si>
    <t>2 · CÁLCULOS E INDICADORES</t>
  </si>
  <si>
    <t>Cuota constante (sistema francés)</t>
  </si>
  <si>
    <t>Interés total del préstamo</t>
  </si>
  <si>
    <t>Total pagado</t>
  </si>
  <si>
    <t>3 · Cuadro de marcha (una sola fórmula con SCAN — no se arrastra)  (matriz dinámica · una fórmula derrama toda la tabla)</t>
  </si>
  <si>
    <t>SCAN propaga el saldo período a período llevando un acumulador; VSTACK/DROP arman el saldo previo para el interés. Una sola fórmula derrama las 24 filas: cambiá el plazo y se reajusta.</t>
  </si>
  <si>
    <t>Período</t>
  </si>
  <si>
    <t>Cuota</t>
  </si>
  <si>
    <t>Interés</t>
  </si>
  <si>
    <t>Amortización</t>
  </si>
  <si>
    <t>Saldo</t>
  </si>
  <si>
    <t>4 · Capa de red neuronal (MMULT + ReLU)  (matriz dinámica · una fórmula derrama toda la tabla)</t>
  </si>
  <si>
    <t>MMULT multiplica el vector de entradas por la matriz de pesos; se suma el sesgo y se aplica ReLU. Es la misma álgebra del aprendizaje profundo (3.2), dentro de la planilla y sin macros.</t>
  </si>
  <si>
    <t>Neurona</t>
  </si>
  <si>
    <t>Pre-activación z</t>
  </si>
  <si>
    <t>Activación ReLU a</t>
  </si>
  <si>
    <t>5 · CONCLUSIONES AUTOMÁTICAS</t>
  </si>
  <si>
    <t>Préstamo</t>
  </si>
  <si>
    <t>Método</t>
  </si>
  <si>
    <t>JPR Consulting · Maestría en Finanzas Corporativas Aplicadas con IA · UNNE — Asignatura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</si>
</sst>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b/>
      <color rgb="FF33373D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EFF7F2"/>
      </patternFill>
    </fill>
    <fill>
      <patternFill patternType="solid">
        <fgColor rgb="FFFBFAF7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164" fontId="5" fillId="4" borderId="1" xfId="0" applyNumberFormat="1" applyFont="1" applyFill="1" applyBorder="1"/>
    <xf numFmtId="0" fontId="7" fillId="0" borderId="0" xfId="0" applyFont="1"/>
    <xf numFmtId="3" fontId="8" fillId="5" borderId="1" xfId="0" applyNumberFormat="1" applyFont="1" applyFill="1" applyBorder="1"/>
    <xf numFmtId="3" fontId="9" fillId="6" borderId="0" xfId="0" applyNumberFormat="1" applyFont="1" applyFill="1"/>
    <xf numFmtId="0" fontId="10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3" fontId="12" fillId="0" borderId="0" xfId="0" applyNumberFormat="1" applyFont="1"/>
    <xf numFmtId="3" fontId="13" fillId="0" borderId="0" xfId="0" applyNumberFormat="1" applyFont="1"/>
    <xf numFmtId="4" fontId="13" fillId="0" borderId="0" xfId="0" applyNumberFormat="1" applyFont="1"/>
    <xf numFmtId="0" fontId="5" fillId="0" borderId="0" xfId="0" applyFont="1"/>
    <xf numFmtId="0" fontId="14" fillId="5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8000</v>
      </c>
      <c r="C5" s="6" t="s">
        <v>4</v>
      </c>
    </row>
    <row r="6" spans="1:2" x14ac:dyDescent="0.25">
      <c r="A6" s="4" t="s">
        <v>5</v>
      </c>
      <c r="B6" s="7">
        <v>0.05</v>
      </c>
    </row>
    <row r="7" spans="1:2" x14ac:dyDescent="0.25">
      <c r="A7" s="4" t="s">
        <v>6</v>
      </c>
      <c r="B7" s="5">
        <v>24</v>
      </c>
    </row>
    <row r="9" ht="22" customHeight="1" spans="1:4" x14ac:dyDescent="0.25">
      <c r="A9" s="3" t="s">
        <v>7</v>
      </c>
      <c r="B9" s="3"/>
      <c r="C9" s="3"/>
      <c r="D9" s="3"/>
    </row>
    <row r="10" spans="1:2" x14ac:dyDescent="0.25">
      <c r="A10" s="8" t="s">
        <v>8</v>
      </c>
      <c r="B10" s="9">
        <f>B5*B6/(1-(1+B6)^-B7)</f>
      </c>
    </row>
    <row r="11" spans="1:2" x14ac:dyDescent="0.25">
      <c r="A11" s="8" t="s">
        <v>9</v>
      </c>
      <c r="B11" s="9">
        <f>B10*B7-B5</f>
      </c>
    </row>
    <row r="12" spans="1:2" x14ac:dyDescent="0.25">
      <c r="A12" s="4" t="s">
        <v>10</v>
      </c>
      <c r="B12" s="10">
        <f>B10*B7</f>
      </c>
    </row>
    <row r="14" ht="22" customHeight="1" spans="1:4" x14ac:dyDescent="0.25">
      <c r="A14" s="3" t="s">
        <v>11</v>
      </c>
      <c r="B14" s="3"/>
      <c r="C14" s="3"/>
      <c r="D14" s="3"/>
    </row>
    <row r="15" ht="24" customHeight="1" spans="1:4" x14ac:dyDescent="0.25">
      <c r="A15" s="11" t="s">
        <v>12</v>
      </c>
      <c r="B15" s="11"/>
      <c r="C15" s="11"/>
      <c r="D15" s="11"/>
    </row>
    <row r="16" ht="20" customHeight="1" spans="1:5" x14ac:dyDescent="0.25">
      <c r="A16" s="12" t="s">
        <v>13</v>
      </c>
      <c r="B16" s="12" t="s">
        <v>14</v>
      </c>
      <c r="C16" s="12" t="s">
        <v>15</v>
      </c>
      <c r="D16" s="12" t="s">
        <v>16</v>
      </c>
      <c r="E16" s="12" t="s">
        <v>17</v>
      </c>
    </row>
    <row r="17" spans="1:5" x14ac:dyDescent="0.25">
      <c r="A17" s="13">
        <f>_xlfn.LET(P,B5, r,B6, n,B7, q,P*r/(1-(1+r)^-n), per,_xlfn.SEQUENCE(n), saldos,_xlfn.SCAN(P,per,_xlfn.LAMBDA(acc,i,acc-(q-acc*r))), prev,_xlfn.VSTACK(P,_xlfn.DROP(saldos,-1)), interes,prev*r, amort,q-interes, _xlfn.HSTACK(per, per*0+q, interes, amort, saldos))</f>
      </c>
      <c r="B17" s="14"/>
      <c r="C17" s="14"/>
      <c r="D17" s="14"/>
      <c r="E17" s="14"/>
    </row>
    <row r="18" spans="1:5" x14ac:dyDescent="0.25">
      <c r="A18" s="13"/>
      <c r="B18" s="14"/>
      <c r="C18" s="14"/>
      <c r="D18" s="14"/>
      <c r="E18" s="14"/>
    </row>
    <row r="19" spans="1:5" x14ac:dyDescent="0.25">
      <c r="A19" s="13"/>
      <c r="B19" s="14"/>
      <c r="C19" s="14"/>
      <c r="D19" s="14"/>
      <c r="E19" s="14"/>
    </row>
    <row r="20" spans="1:5" x14ac:dyDescent="0.25">
      <c r="A20" s="13"/>
      <c r="B20" s="14"/>
      <c r="C20" s="14"/>
      <c r="D20" s="14"/>
      <c r="E20" s="14"/>
    </row>
    <row r="21" spans="1:5" x14ac:dyDescent="0.25">
      <c r="A21" s="13"/>
      <c r="B21" s="14"/>
      <c r="C21" s="14"/>
      <c r="D21" s="14"/>
      <c r="E21" s="14"/>
    </row>
    <row r="22" spans="1:5" x14ac:dyDescent="0.25">
      <c r="A22" s="13"/>
      <c r="B22" s="14"/>
      <c r="C22" s="14"/>
      <c r="D22" s="14"/>
      <c r="E22" s="14"/>
    </row>
    <row r="23" spans="1:5" x14ac:dyDescent="0.25">
      <c r="A23" s="13"/>
      <c r="B23" s="14"/>
      <c r="C23" s="14"/>
      <c r="D23" s="14"/>
      <c r="E23" s="14"/>
    </row>
    <row r="24" spans="1:5" x14ac:dyDescent="0.25">
      <c r="A24" s="13"/>
      <c r="B24" s="14"/>
      <c r="C24" s="14"/>
      <c r="D24" s="14"/>
      <c r="E24" s="14"/>
    </row>
    <row r="25" spans="1:5" x14ac:dyDescent="0.25">
      <c r="A25" s="13"/>
      <c r="B25" s="14"/>
      <c r="C25" s="14"/>
      <c r="D25" s="14"/>
      <c r="E25" s="14"/>
    </row>
    <row r="26" spans="1:5" x14ac:dyDescent="0.25">
      <c r="A26" s="13"/>
      <c r="B26" s="14"/>
      <c r="C26" s="14"/>
      <c r="D26" s="14"/>
      <c r="E26" s="14"/>
    </row>
    <row r="27" spans="1:5" x14ac:dyDescent="0.25">
      <c r="A27" s="13"/>
      <c r="B27" s="14"/>
      <c r="C27" s="14"/>
      <c r="D27" s="14"/>
      <c r="E27" s="14"/>
    </row>
    <row r="28" spans="1:5" x14ac:dyDescent="0.25">
      <c r="A28" s="13"/>
      <c r="B28" s="14"/>
      <c r="C28" s="14"/>
      <c r="D28" s="14"/>
      <c r="E28" s="14"/>
    </row>
    <row r="29" spans="1:5" x14ac:dyDescent="0.25">
      <c r="A29" s="13"/>
      <c r="B29" s="14"/>
      <c r="C29" s="14"/>
      <c r="D29" s="14"/>
      <c r="E29" s="14"/>
    </row>
    <row r="30" spans="1:5" x14ac:dyDescent="0.25">
      <c r="A30" s="13"/>
      <c r="B30" s="14"/>
      <c r="C30" s="14"/>
      <c r="D30" s="14"/>
      <c r="E30" s="14"/>
    </row>
    <row r="31" spans="1:5" x14ac:dyDescent="0.25">
      <c r="A31" s="13"/>
      <c r="B31" s="14"/>
      <c r="C31" s="14"/>
      <c r="D31" s="14"/>
      <c r="E31" s="14"/>
    </row>
    <row r="32" spans="1:5" x14ac:dyDescent="0.25">
      <c r="A32" s="13"/>
      <c r="B32" s="14"/>
      <c r="C32" s="14"/>
      <c r="D32" s="14"/>
      <c r="E32" s="14"/>
    </row>
    <row r="33" spans="1:5" x14ac:dyDescent="0.25">
      <c r="A33" s="13"/>
      <c r="B33" s="14"/>
      <c r="C33" s="14"/>
      <c r="D33" s="14"/>
      <c r="E33" s="14"/>
    </row>
    <row r="34" spans="1:5" x14ac:dyDescent="0.25">
      <c r="A34" s="13"/>
      <c r="B34" s="14"/>
      <c r="C34" s="14"/>
      <c r="D34" s="14"/>
      <c r="E34" s="14"/>
    </row>
    <row r="35" spans="1:5" x14ac:dyDescent="0.25">
      <c r="A35" s="13"/>
      <c r="B35" s="14"/>
      <c r="C35" s="14"/>
      <c r="D35" s="14"/>
      <c r="E35" s="14"/>
    </row>
    <row r="36" spans="1:5" x14ac:dyDescent="0.25">
      <c r="A36" s="13"/>
      <c r="B36" s="14"/>
      <c r="C36" s="14"/>
      <c r="D36" s="14"/>
      <c r="E36" s="14"/>
    </row>
    <row r="37" spans="1:5" x14ac:dyDescent="0.25">
      <c r="A37" s="13"/>
      <c r="B37" s="14"/>
      <c r="C37" s="14"/>
      <c r="D37" s="14"/>
      <c r="E37" s="14"/>
    </row>
    <row r="38" spans="1:5" x14ac:dyDescent="0.25">
      <c r="A38" s="13"/>
      <c r="B38" s="14"/>
      <c r="C38" s="14"/>
      <c r="D38" s="14"/>
      <c r="E38" s="14"/>
    </row>
    <row r="39" spans="1:5" x14ac:dyDescent="0.25">
      <c r="A39" s="13"/>
      <c r="B39" s="14"/>
      <c r="C39" s="14"/>
      <c r="D39" s="14"/>
      <c r="E39" s="14"/>
    </row>
    <row r="40" spans="1:5" x14ac:dyDescent="0.25">
      <c r="A40" s="13"/>
      <c r="B40" s="14"/>
      <c r="C40" s="14"/>
      <c r="D40" s="14"/>
      <c r="E40" s="14"/>
    </row>
    <row r="42" ht="22" customHeight="1" spans="1:4" x14ac:dyDescent="0.25">
      <c r="A42" s="3" t="s">
        <v>18</v>
      </c>
      <c r="B42" s="3"/>
      <c r="C42" s="3"/>
      <c r="D42" s="3"/>
    </row>
    <row r="43" ht="24" customHeight="1" spans="1:4" x14ac:dyDescent="0.25">
      <c r="A43" s="11" t="s">
        <v>19</v>
      </c>
      <c r="B43" s="11"/>
      <c r="C43" s="11"/>
      <c r="D43" s="11"/>
    </row>
    <row r="44" ht="20" customHeight="1" spans="1:3" x14ac:dyDescent="0.25">
      <c r="A44" s="12" t="s">
        <v>20</v>
      </c>
      <c r="B44" s="12" t="s">
        <v>21</v>
      </c>
      <c r="C44" s="12" t="s">
        <v>22</v>
      </c>
    </row>
    <row r="45" spans="1:3" x14ac:dyDescent="0.25">
      <c r="A45" s="13">
        <f>_xlfn.LET(x,{0.5,0.8,0.2}, W,{0.3,-0.2;0.1,0.4;-0.5,0.6}, b,{0.1,-0.1}, z,MMULT(x,W)+b, a,IF(z&gt;0,z,0), _xlfn.HSTACK(_xlfn.SEQUENCE(2),_xlfn.TOCOL(z),_xlfn.TOCOL(a)))</f>
      </c>
      <c r="B45" s="15"/>
      <c r="C45" s="15"/>
    </row>
    <row r="46" spans="1:3" x14ac:dyDescent="0.25">
      <c r="A46" s="13"/>
      <c r="B46" s="15"/>
      <c r="C46" s="15"/>
    </row>
    <row r="48" ht="22" customHeight="1" spans="1:4" x14ac:dyDescent="0.25">
      <c r="A48" s="3" t="s">
        <v>23</v>
      </c>
      <c r="B48" s="3"/>
      <c r="C48" s="3"/>
      <c r="D48" s="3"/>
    </row>
    <row r="49" ht="34" customHeight="1" spans="1:4" x14ac:dyDescent="0.25">
      <c r="A49" s="16" t="s">
        <v>24</v>
      </c>
      <c r="B49" s="17">
        <f>"Cuota "&amp;TEXT(B10,"#,##0")&amp;" durante "&amp;B7&amp;" meses. Interés total "&amp;TEXT(B11,"#,##0")&amp;" ("&amp;TEXT(B11/B5,"0.0%")&amp;" sobre el capital). El saldo final de la tabla debe ser 0."</f>
      </c>
      <c r="C49" s="17"/>
      <c r="D49" s="17"/>
    </row>
    <row r="50" ht="34" customHeight="1" spans="1:4" x14ac:dyDescent="0.25">
      <c r="A50" s="16" t="s">
        <v>25</v>
      </c>
      <c r="B50" s="17">
        <f>"Toda la tabla deriva de una sola fórmula con SCAN: si cambiás el plazo o la tasa, se recalcula sola. Esto es lo que la metodología FAST (arrastre celda a celda) no puede hacer sin reconstruirse."</f>
      </c>
      <c r="C50" s="17"/>
      <c r="D50" s="17"/>
    </row>
    <row r="52" spans="1:4" x14ac:dyDescent="0.25">
      <c r="A52" s="18" t="s">
        <v>26</v>
      </c>
      <c r="B52" s="18"/>
      <c r="C52" s="18"/>
      <c r="D52" s="18"/>
    </row>
  </sheetData>
  <mergeCells count="12">
    <mergeCell ref="A1:D1"/>
    <mergeCell ref="A2:D2"/>
    <mergeCell ref="A4:D4"/>
    <mergeCell ref="A9:D9"/>
    <mergeCell ref="A14:D14"/>
    <mergeCell ref="A15:D15"/>
    <mergeCell ref="A42:D42"/>
    <mergeCell ref="A43:D43"/>
    <mergeCell ref="A48:D48"/>
    <mergeCell ref="B49:D49"/>
    <mergeCell ref="B50:D50"/>
    <mergeCell ref="A52:D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2.3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2.3 — Amortización francesa con SCAN y capa de red neuronal con MMULT</dc:title>
  <dc:subject/>
  <dc:description/>
  <cp:keywords/>
  <cp:category/>
  <cp:lastModifiedBy>Unknown</cp:lastModifiedBy>
  <dcterms:created xsi:type="dcterms:W3CDTF">2026-08-18T14:13:04Z</dcterms:created>
  <dcterms:modified xsi:type="dcterms:W3CDTF">2026-08-18T14:13:04Z</dcterms:modified>
</cp:coreProperties>
</file>