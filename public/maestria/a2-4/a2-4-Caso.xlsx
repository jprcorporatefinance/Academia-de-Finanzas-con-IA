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Asig 2.4" state="visible" r:id="rId4"/>
  </sheets>
  <calcPr calcId="171027"/>
</workbook>
</file>

<file path=xl/sharedStrings.xml><?xml version="1.0" encoding="utf-8"?>
<sst xmlns="http://schemas.openxmlformats.org/spreadsheetml/2006/main" count="33" uniqueCount="33">
  <si>
    <t>JPR CONSULTING · ASIGNATURA 2.4 — Ciclo de conversión de efectivo, capital liberado y matriz ABC/XYZ</t>
  </si>
  <si>
    <t>Editá las celdas marfil. Se calcula el CCE y el capital liberado (→ EVA), y la matriz dinámica clasifica el stock ABC (Pareto con SCAN) y XYZ (variabilidad) en una sola fórmula, ordenada por valor con SORTBY.</t>
  </si>
  <si>
    <t>1 · DATOS DE ENTRADA  (celdas marfil — editá acá)</t>
  </si>
  <si>
    <t>Ventas</t>
  </si>
  <si>
    <t>miles $</t>
  </si>
  <si>
    <t>Costo de mercadería vendida</t>
  </si>
  <si>
    <t>Inventario (bienes de cambio)</t>
  </si>
  <si>
    <t>Cuentas por cobrar</t>
  </si>
  <si>
    <t>Proveedores</t>
  </si>
  <si>
    <t>WACC</t>
  </si>
  <si>
    <t>Reducción objetivo del CCE</t>
  </si>
  <si>
    <t>2 · CÁLCULOS E INDICADORES</t>
  </si>
  <si>
    <t>DIO — días de inventario</t>
  </si>
  <si>
    <t>DSO — días de cobranza</t>
  </si>
  <si>
    <t>DPO — días de pago</t>
  </si>
  <si>
    <t>Ciclo de Conversión de Efectivo</t>
  </si>
  <si>
    <t>Capital de trabajo operativo</t>
  </si>
  <si>
    <t>Capital por día de ciclo</t>
  </si>
  <si>
    <t>Capital liberado (por la reducción)</t>
  </si>
  <si>
    <t>EVA adicional (capital liberado × WACC)</t>
  </si>
  <si>
    <t>3 · Clasificación ABC/XYZ del stock (Pareto con SCAN, orden con SORTBY)  (matriz dinámica · una fórmula derrama toda la tabla)</t>
  </si>
  <si>
    <t>SORTBY ordena por valor de consumo; SCAN acumula el % (Pareto) para el corte ABC; el CV define XYZ. La celda combina ambos ejes. Todo en una sola fórmula.</t>
  </si>
  <si>
    <t>Ítem</t>
  </si>
  <si>
    <t>Valor consumo</t>
  </si>
  <si>
    <t>% acumulado</t>
  </si>
  <si>
    <t>ABC</t>
  </si>
  <si>
    <t>CV demanda</t>
  </si>
  <si>
    <t>XYZ</t>
  </si>
  <si>
    <t>Celda</t>
  </si>
  <si>
    <t>4 · CONCLUSIONES AUTOMÁTICAS</t>
  </si>
  <si>
    <t>Ciclo</t>
  </si>
  <si>
    <t>Valor liberado</t>
  </si>
  <si>
    <t>JPR Consulting · Maestría en Finanzas Corporativas Aplicadas con IA · UNNE — Asignatura 2.4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</si>
</sst>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0.0%"/>
    <numFmt numFmtId="165" formatCode="0 &quot;días&quot;"/>
  </numFmts>
  <fonts count="16" x14ac:knownFonts="1">
    <font>
      <color theme="1"/>
      <family val="2"/>
      <scheme val="minor"/>
      <sz val="11"/>
      <name val="Calibri"/>
    </font>
    <font>
      <b/>
      <color rgb="FFF4F1EA"/>
      <sz val="13"/>
      <name val="IBM Plex Sans"/>
    </font>
    <font>
      <i/>
      <color rgb="FF5F646C"/>
      <sz val="9.5"/>
      <name val="IBM Plex Sans"/>
    </font>
    <font>
      <b/>
      <color rgb="FF8FD3B7"/>
      <sz val="10.5"/>
      <name val="IBM Plex Mono"/>
    </font>
    <font>
      <sz val="10.5"/>
      <name val="IBM Plex Sans"/>
    </font>
    <font>
      <b/>
      <color rgb="FF1A1D22"/>
      <sz val="10.5"/>
      <name val="IBM Plex Sans"/>
    </font>
    <font>
      <color rgb="FF5F646C"/>
      <sz val="9"/>
      <name val="IBM Plex Sans"/>
    </font>
    <font>
      <b/>
      <color rgb="FF33373D"/>
      <sz val="10.5"/>
      <name val="IBM Plex Sans"/>
    </font>
    <font>
      <b/>
      <sz val="10.5"/>
      <name val="IBM Plex Sans"/>
    </font>
    <font>
      <b/>
      <color rgb="FF0E4E3B"/>
      <sz val="10.5"/>
      <name val="IBM Plex Sans"/>
    </font>
    <font>
      <i/>
      <color rgb="FF8A8F97"/>
      <sz val="9"/>
      <name val="IBM Plex Sans"/>
    </font>
    <font>
      <b/>
      <color rgb="FFF4F1EA"/>
      <sz val="9.5"/>
      <name val="IBM Plex Sans"/>
    </font>
    <font>
      <color rgb="FF33373D"/>
      <sz val="9.5"/>
      <name val="IBM Plex Sans"/>
    </font>
    <font>
      <color rgb="FF33373D"/>
      <sz val="9.5"/>
      <name val="IBM Plex Mono"/>
    </font>
    <font>
      <color rgb="FF0E4E3B"/>
      <sz val="10.5"/>
      <name val="IBM Plex Sans"/>
    </font>
    <font>
      <color rgb="FF8A8F97"/>
      <sz val="8.5"/>
      <name val="IBM Plex Mono"/>
    </font>
  </fonts>
  <fills count="8">
    <fill>
      <patternFill patternType="none"/>
    </fill>
    <fill>
      <patternFill patternType="gray125"/>
    </fill>
    <fill>
      <patternFill patternType="solid">
        <fgColor rgb="FF0A0C0F"/>
      </patternFill>
    </fill>
    <fill>
      <patternFill patternType="solid">
        <fgColor rgb="FF12614A"/>
      </patternFill>
    </fill>
    <fill>
      <patternFill patternType="solid">
        <fgColor rgb="FFF4F1EA"/>
      </patternFill>
    </fill>
    <fill>
      <patternFill patternType="solid">
        <fgColor rgb="FFFBFAF7"/>
      </patternFill>
    </fill>
    <fill>
      <patternFill patternType="solid">
        <fgColor rgb="FFEFF7F2"/>
      </patternFill>
    </fill>
    <fill>
      <patternFill patternType="solid">
        <fgColor rgb="FF0E4E3B"/>
      </patternFill>
    </fill>
  </fills>
  <borders count="2">
    <border>
      <left/>
      <right/>
      <top/>
      <bottom/>
      <diagonal/>
    </border>
    <border>
      <left style="thin">
        <color rgb="FF1E8F6B"/>
      </left>
      <right style="thin">
        <color rgb="FF1E8F6B"/>
      </right>
      <top style="thin">
        <color rgb="FF1E8F6B"/>
      </top>
      <bottom style="thin">
        <color rgb="FF1E8F6B"/>
      </bottom>
      <diagonal/>
    </border>
  </borders>
  <cellStyleXfs count="1">
    <xf numFmtId="0" fontId="0" fillId="0" borderId="0"/>
  </cellStyleXfs>
  <cellXfs count="24">
    <xf numFmtId="0" fontId="0" fillId="0" borderId="0" xfId="0"/>
    <xf numFmtId="0" fontId="1" fillId="2" borderId="0" xfId="0" applyFont="1" applyFill="1" applyAlignment="1">
      <alignment horizontal="left" vertical="center" indent="1"/>
    </xf>
    <xf numFmtId="0" fontId="2" fillId="0" borderId="0" xfId="0" applyFont="1" applyAlignment="1">
      <alignment vertical="center" wrapText="1"/>
    </xf>
    <xf numFmtId="0" fontId="3" fillId="3" borderId="0" xfId="0" applyFont="1" applyFill="1" applyAlignment="1">
      <alignment vertical="center" indent="1"/>
    </xf>
    <xf numFmtId="0" fontId="4" fillId="0" borderId="0" xfId="0" applyFont="1"/>
    <xf numFmtId="3" fontId="5" fillId="4" borderId="1" xfId="0" applyNumberFormat="1" applyFont="1" applyFill="1" applyBorder="1"/>
    <xf numFmtId="0" fontId="6" fillId="0" borderId="0" xfId="0" applyFont="1"/>
    <xf numFmtId="164" fontId="5" fillId="4" borderId="1" xfId="0" applyNumberFormat="1" applyFont="1" applyFill="1" applyBorder="1"/>
    <xf numFmtId="165" fontId="5" fillId="4" borderId="1" xfId="0" applyNumberFormat="1" applyFont="1" applyFill="1" applyBorder="1"/>
    <xf numFmtId="165" fontId="7" fillId="5" borderId="0" xfId="0" applyNumberFormat="1" applyFont="1" applyFill="1"/>
    <xf numFmtId="0" fontId="8" fillId="0" borderId="0" xfId="0" applyFont="1"/>
    <xf numFmtId="165" fontId="9" fillId="6" borderId="1" xfId="0" applyNumberFormat="1" applyFont="1" applyFill="1" applyBorder="1"/>
    <xf numFmtId="3" fontId="7" fillId="5" borderId="0" xfId="0" applyNumberFormat="1" applyFont="1" applyFill="1"/>
    <xf numFmtId="3" fontId="9" fillId="6" borderId="1" xfId="0" applyNumberFormat="1" applyFont="1" applyFill="1" applyBorder="1"/>
    <xf numFmtId="0" fontId="10" fillId="0" borderId="0" xfId="0" applyFont="1" applyAlignment="1">
      <alignment vertical="center" wrapText="1"/>
    </xf>
    <xf numFmtId="0" fontId="11" fillId="7" borderId="0" xfId="0" applyFont="1" applyFill="1" applyAlignment="1">
      <alignment vertical="center" wrapText="1"/>
    </xf>
    <xf numFmtId="0" fontId="12" fillId="0" borderId="0" xfId="0" applyFont="1"/>
    <xf numFmtId="3" fontId="13" fillId="0" borderId="0" xfId="0" applyNumberFormat="1" applyFont="1"/>
    <xf numFmtId="9" fontId="13" fillId="0" borderId="0" xfId="0" applyNumberFormat="1" applyFont="1"/>
    <xf numFmtId="0" fontId="13" fillId="0" borderId="0" xfId="0" applyFont="1"/>
    <xf numFmtId="4" fontId="13" fillId="0" borderId="0" xfId="0" applyNumberFormat="1" applyFont="1"/>
    <xf numFmtId="0" fontId="5" fillId="0" borderId="0" xfId="0" applyFont="1"/>
    <xf numFmtId="0" fontId="14" fillId="6" borderId="0" xfId="0" applyFont="1" applyFill="1" applyAlignment="1">
      <alignment vertical="center" wrapText="1" indent="1"/>
    </xf>
    <xf numFmtId="0" fontId="15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G39"/>
  <sheetViews>
    <sheetView workbookViewId="0" showGridLines="0"/>
  </sheetViews>
  <sheetFormatPr defaultRowHeight="16" outlineLevelRow="0" outlineLevelCol="0" x14ac:dyDescent="55" customHeight="1"/>
  <cols>
    <col min="1" max="1" width="46" customWidth="1"/>
    <col min="2" max="2" width="18" customWidth="1"/>
    <col min="3" max="3" width="14" customWidth="1"/>
    <col min="4" max="4" width="58" customWidth="1"/>
  </cols>
  <sheetData>
    <row r="1" ht="28" customHeight="1" spans="1:4" x14ac:dyDescent="0.25">
      <c r="A1" s="1" t="s">
        <v>0</v>
      </c>
      <c r="B1" s="1"/>
      <c r="C1" s="1"/>
      <c r="D1" s="1"/>
    </row>
    <row r="2" ht="26" customHeight="1" spans="1:4" x14ac:dyDescent="0.25">
      <c r="A2" s="2" t="s">
        <v>1</v>
      </c>
      <c r="B2" s="2"/>
      <c r="C2" s="2"/>
      <c r="D2" s="2"/>
    </row>
    <row r="4" ht="22" customHeight="1" spans="1:4" x14ac:dyDescent="0.25">
      <c r="A4" s="3" t="s">
        <v>2</v>
      </c>
      <c r="B4" s="3"/>
      <c r="C4" s="3"/>
      <c r="D4" s="3"/>
    </row>
    <row r="5" spans="1:3" x14ac:dyDescent="0.25">
      <c r="A5" s="4" t="s">
        <v>3</v>
      </c>
      <c r="B5" s="5">
        <v>42000</v>
      </c>
      <c r="C5" s="6" t="s">
        <v>4</v>
      </c>
    </row>
    <row r="6" spans="1:2" x14ac:dyDescent="0.25">
      <c r="A6" s="4" t="s">
        <v>5</v>
      </c>
      <c r="B6" s="5">
        <v>27000</v>
      </c>
    </row>
    <row r="7" spans="1:2" x14ac:dyDescent="0.25">
      <c r="A7" s="4" t="s">
        <v>6</v>
      </c>
      <c r="B7" s="5">
        <v>3770</v>
      </c>
    </row>
    <row r="8" spans="1:2" x14ac:dyDescent="0.25">
      <c r="A8" s="4" t="s">
        <v>7</v>
      </c>
      <c r="B8" s="5">
        <v>3100</v>
      </c>
    </row>
    <row r="9" spans="1:2" x14ac:dyDescent="0.25">
      <c r="A9" s="4" t="s">
        <v>8</v>
      </c>
      <c r="B9" s="5">
        <v>1900</v>
      </c>
    </row>
    <row r="10" spans="1:2" x14ac:dyDescent="0.25">
      <c r="A10" s="4" t="s">
        <v>9</v>
      </c>
      <c r="B10" s="7">
        <v>0.2</v>
      </c>
    </row>
    <row r="11" spans="1:2" x14ac:dyDescent="0.25">
      <c r="A11" s="4" t="s">
        <v>10</v>
      </c>
      <c r="B11" s="8">
        <v>10</v>
      </c>
    </row>
    <row r="13" ht="22" customHeight="1" spans="1:4" x14ac:dyDescent="0.25">
      <c r="A13" s="3" t="s">
        <v>11</v>
      </c>
      <c r="B13" s="3"/>
      <c r="C13" s="3"/>
      <c r="D13" s="3"/>
    </row>
    <row r="14" spans="1:2" x14ac:dyDescent="0.25">
      <c r="A14" s="4" t="s">
        <v>12</v>
      </c>
      <c r="B14" s="9">
        <f>B7/B6*365</f>
      </c>
    </row>
    <row r="15" spans="1:2" x14ac:dyDescent="0.25">
      <c r="A15" s="4" t="s">
        <v>13</v>
      </c>
      <c r="B15" s="9">
        <f>B8/B5*365</f>
      </c>
    </row>
    <row r="16" spans="1:2" x14ac:dyDescent="0.25">
      <c r="A16" s="4" t="s">
        <v>14</v>
      </c>
      <c r="B16" s="9">
        <f>B9/B6*365</f>
      </c>
    </row>
    <row r="17" spans="1:2" x14ac:dyDescent="0.25">
      <c r="A17" s="10" t="s">
        <v>15</v>
      </c>
      <c r="B17" s="11">
        <f>B14+B15-B16</f>
      </c>
    </row>
    <row r="18" spans="1:2" x14ac:dyDescent="0.25">
      <c r="A18" s="4" t="s">
        <v>16</v>
      </c>
      <c r="B18" s="12">
        <f>B7+B8-B9</f>
      </c>
    </row>
    <row r="19" spans="1:2" x14ac:dyDescent="0.25">
      <c r="A19" s="4" t="s">
        <v>17</v>
      </c>
      <c r="B19" s="12">
        <f>B18/B17</f>
      </c>
    </row>
    <row r="20" spans="1:2" x14ac:dyDescent="0.25">
      <c r="A20" s="10" t="s">
        <v>18</v>
      </c>
      <c r="B20" s="13">
        <f>B19*B11</f>
      </c>
    </row>
    <row r="21" spans="1:2" x14ac:dyDescent="0.25">
      <c r="A21" s="10" t="s">
        <v>19</v>
      </c>
      <c r="B21" s="13">
        <f>B20*B10</f>
      </c>
    </row>
    <row r="23" ht="22" customHeight="1" spans="1:4" x14ac:dyDescent="0.25">
      <c r="A23" s="3" t="s">
        <v>20</v>
      </c>
      <c r="B23" s="3"/>
      <c r="C23" s="3"/>
      <c r="D23" s="3"/>
    </row>
    <row r="24" ht="24" customHeight="1" spans="1:4" x14ac:dyDescent="0.25">
      <c r="A24" s="14" t="s">
        <v>21</v>
      </c>
      <c r="B24" s="14"/>
      <c r="C24" s="14"/>
      <c r="D24" s="14"/>
    </row>
    <row r="25" ht="20" customHeight="1" spans="1:7" x14ac:dyDescent="0.25">
      <c r="A25" s="15" t="s">
        <v>22</v>
      </c>
      <c r="B25" s="15" t="s">
        <v>23</v>
      </c>
      <c r="C25" s="15" t="s">
        <v>24</v>
      </c>
      <c r="D25" s="15" t="s">
        <v>25</v>
      </c>
      <c r="E25" s="15" t="s">
        <v>26</v>
      </c>
      <c r="F25" s="15" t="s">
        <v>27</v>
      </c>
      <c r="G25" s="15" t="s">
        <v>28</v>
      </c>
    </row>
    <row r="26" spans="1:7" x14ac:dyDescent="0.25">
      <c r="A26" s="16">
        <f>_xlfn.LET(it,{"Pino tratado";"Eucalipto";"Álamo";"Herrajes";"Barnices";"Bisagras";"Tornillería";"Sellador"}, val,{9800;7200;3100;1800;1200;600;450;300}, cv,{0.22;0.35;0.6;0.45;0.9;0.55;1.3;1.1}, sIt,_xlfn._xlws.SORTBY(it,val,-1), sVal,_xlfn._xlws.SORT(val,,-1), sCv,_xlfn._xlws.SORTBY(cv,val,-1), cum,_xlfn.SCAN(0,sVal,_xlfn.LAMBDA(a,b,a+b))/SUM(val), abc,IF(cum&lt;=0.8,"A",IF(cum&lt;=0.95,"B","C")), xyz,IF(sCv&lt;0.5,"X",IF(sCv&lt;1,"Y","Z")), _xlfn.HSTACK(sIt,sVal,cum,abc,sCv,xyz,abc&amp;xyz))</f>
      </c>
      <c r="B26" s="17"/>
      <c r="C26" s="18"/>
      <c r="D26" s="19"/>
      <c r="E26" s="20"/>
      <c r="F26" s="19"/>
      <c r="G26" s="19"/>
    </row>
    <row r="27" spans="1:7" x14ac:dyDescent="0.25">
      <c r="A27" s="16"/>
      <c r="B27" s="17"/>
      <c r="C27" s="18"/>
      <c r="D27" s="19"/>
      <c r="E27" s="20"/>
      <c r="F27" s="19"/>
      <c r="G27" s="19"/>
    </row>
    <row r="28" spans="1:7" x14ac:dyDescent="0.25">
      <c r="A28" s="16"/>
      <c r="B28" s="17"/>
      <c r="C28" s="18"/>
      <c r="D28" s="19"/>
      <c r="E28" s="20"/>
      <c r="F28" s="19"/>
      <c r="G28" s="19"/>
    </row>
    <row r="29" spans="1:7" x14ac:dyDescent="0.25">
      <c r="A29" s="16"/>
      <c r="B29" s="17"/>
      <c r="C29" s="18"/>
      <c r="D29" s="19"/>
      <c r="E29" s="20"/>
      <c r="F29" s="19"/>
      <c r="G29" s="19"/>
    </row>
    <row r="30" spans="1:7" x14ac:dyDescent="0.25">
      <c r="A30" s="16"/>
      <c r="B30" s="17"/>
      <c r="C30" s="18"/>
      <c r="D30" s="19"/>
      <c r="E30" s="20"/>
      <c r="F30" s="19"/>
      <c r="G30" s="19"/>
    </row>
    <row r="31" spans="1:7" x14ac:dyDescent="0.25">
      <c r="A31" s="16"/>
      <c r="B31" s="17"/>
      <c r="C31" s="18"/>
      <c r="D31" s="19"/>
      <c r="E31" s="20"/>
      <c r="F31" s="19"/>
      <c r="G31" s="19"/>
    </row>
    <row r="32" spans="1:7" x14ac:dyDescent="0.25">
      <c r="A32" s="16"/>
      <c r="B32" s="17"/>
      <c r="C32" s="18"/>
      <c r="D32" s="19"/>
      <c r="E32" s="20"/>
      <c r="F32" s="19"/>
      <c r="G32" s="19"/>
    </row>
    <row r="33" spans="1:7" x14ac:dyDescent="0.25">
      <c r="A33" s="16"/>
      <c r="B33" s="17"/>
      <c r="C33" s="18"/>
      <c r="D33" s="19"/>
      <c r="E33" s="20"/>
      <c r="F33" s="19"/>
      <c r="G33" s="19"/>
    </row>
    <row r="35" ht="22" customHeight="1" spans="1:4" x14ac:dyDescent="0.25">
      <c r="A35" s="3" t="s">
        <v>29</v>
      </c>
      <c r="B35" s="3"/>
      <c r="C35" s="3"/>
      <c r="D35" s="3"/>
    </row>
    <row r="36" ht="34" customHeight="1" spans="1:4" x14ac:dyDescent="0.25">
      <c r="A36" s="21" t="s">
        <v>30</v>
      </c>
      <c r="B36" s="22">
        <f>"CCE de "&amp;TEXT(B17,"0")&amp;" días (DIO "&amp;TEXT(B14,"0")&amp;" + DSO "&amp;TEXT(B15,"0")&amp;" − DPO "&amp;TEXT(B16,"0")&amp;"). Cada día del ciclo inmoviliza "&amp;TEXT(B19,"#,##0")&amp;" miles."</f>
      </c>
      <c r="C36" s="22"/>
      <c r="D36" s="22"/>
    </row>
    <row r="37" ht="34" customHeight="1" spans="1:4" x14ac:dyDescent="0.25">
      <c r="A37" s="21" t="s">
        <v>31</v>
      </c>
      <c r="B37" s="22">
        <f>"Reducir el CCE en "&amp;B11&amp;" días libera "&amp;TEXT(B20,"#,##0")&amp;" miles de capital y suma "&amp;TEXT(B21,"#,##0")&amp;" miles de EVA — sin vender una unidad más. Ordenar el capital de trabajo rinde más que pelear margen."</f>
      </c>
      <c r="C37" s="22"/>
      <c r="D37" s="22"/>
    </row>
    <row r="39" spans="1:4" x14ac:dyDescent="0.25">
      <c r="A39" s="23" t="s">
        <v>32</v>
      </c>
      <c r="B39" s="23"/>
      <c r="C39" s="23"/>
      <c r="D39" s="23"/>
    </row>
  </sheetData>
  <mergeCells count="10">
    <mergeCell ref="A1:D1"/>
    <mergeCell ref="A2:D2"/>
    <mergeCell ref="A4:D4"/>
    <mergeCell ref="A13:D13"/>
    <mergeCell ref="A23:D23"/>
    <mergeCell ref="A24:D24"/>
    <mergeCell ref="A35:D35"/>
    <mergeCell ref="B36:D36"/>
    <mergeCell ref="B37:D37"/>
    <mergeCell ref="A39:D39"/>
  </mergeCell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Asig 2.4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JPR Consulting · Maestría FC+IA · UNNE</dc:creator>
  <dc:title>Asignatura 2.4 — Ciclo de conversión de efectivo, capital liberado y matriz ABC/XYZ</dc:title>
  <dc:subject/>
  <dc:description/>
  <cp:keywords/>
  <cp:category/>
  <cp:lastModifiedBy>Unknown</cp:lastModifiedBy>
  <dcterms:created xsi:type="dcterms:W3CDTF">2026-08-18T14:18:45Z</dcterms:created>
  <dcterms:modified xsi:type="dcterms:W3CDTF">2026-08-18T14:18:45Z</dcterms:modified>
</cp:coreProperties>
</file>