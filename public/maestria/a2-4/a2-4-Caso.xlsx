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4" state="visible" r:id="rId4"/>
  </sheets>
  <calcPr calcId="171027"/>
</workbook>
</file>

<file path=xl/sharedStrings.xml><?xml version="1.0" encoding="utf-8"?>
<sst xmlns="http://schemas.openxmlformats.org/spreadsheetml/2006/main" count="33" uniqueCount="33">
  <si>
    <t>JPR CONSULTING · ASIGNATURA 2.4 — Ciclo de conversión de efectivo, capital liberado y matriz ABC/XYZ</t>
  </si>
  <si>
    <t>Editá las celdas marfil. Se calcula el CCE y el capital liberado (→ EVA), y la matriz dinámica clasifica el stock ABC (Pareto con SCAN) y XYZ (variabilidad) en una sola fórmula, ordenada por valor con SORTBY.</t>
  </si>
  <si>
    <t>1 · DATOS DE ENTRADA  (celdas marfil — editá acá)</t>
  </si>
  <si>
    <t>Ventas</t>
  </si>
  <si>
    <t>miles $</t>
  </si>
  <si>
    <t>Costo de mercadería vendida</t>
  </si>
  <si>
    <t>Inventario (bienes de cambio)</t>
  </si>
  <si>
    <t>Cuentas por cobrar</t>
  </si>
  <si>
    <t>Proveedores</t>
  </si>
  <si>
    <t>WACC</t>
  </si>
  <si>
    <t>Reducción objetivo del CCE</t>
  </si>
  <si>
    <t>2 · CÁLCULOS E INDICADORES</t>
  </si>
  <si>
    <t>DIO — días de inventario</t>
  </si>
  <si>
    <t>DSO — días de cobranza</t>
  </si>
  <si>
    <t>DPO — días de pago</t>
  </si>
  <si>
    <t>Ciclo de Conversión de Efectivo</t>
  </si>
  <si>
    <t>Capital de trabajo operativo</t>
  </si>
  <si>
    <t>Capital por día de ciclo</t>
  </si>
  <si>
    <t>Capital liberado (por la reducción)</t>
  </si>
  <si>
    <t>EVA adicional (capital liberado × WACC)</t>
  </si>
  <si>
    <t>3 · Clasificación ABC/XYZ del stock (Pareto con SCAN, orden con SORTBY)  (matriz dinámica · una fórmula derrama toda la tabla)</t>
  </si>
  <si>
    <t>SORTBY ordena por valor de consumo; SCAN acumula el % (Pareto) para el corte ABC; el CV define XYZ. La celda combina ambos ejes. Todo en una sola fórmula.</t>
  </si>
  <si>
    <t>Ítem</t>
  </si>
  <si>
    <t>Valor consumo</t>
  </si>
  <si>
    <t>% acumulado</t>
  </si>
  <si>
    <t>ABC</t>
  </si>
  <si>
    <t>CV demanda</t>
  </si>
  <si>
    <t>XYZ</t>
  </si>
  <si>
    <t>Celda</t>
  </si>
  <si>
    <t>4 · CONCLUSIONES AUTOMÁTICAS</t>
  </si>
  <si>
    <t>Ciclo</t>
  </si>
  <si>
    <t>Valor liberado</t>
  </si>
  <si>
    <t>JPR Consulting · Maestría en Finanzas Corporativas Aplicadas con IA · UNNE — Asignatura 2.4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</si>
</sst>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 &quot;días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165" fontId="7" fillId="5" borderId="0" xfId="0" applyNumberFormat="1" applyFont="1" applyFill="1"/>
    <xf numFmtId="0" fontId="8" fillId="0" borderId="0" xfId="0" applyFont="1"/>
    <xf numFmtId="165" fontId="9" fillId="6" borderId="1" xfId="0" applyNumberFormat="1" applyFont="1" applyFill="1" applyBorder="1"/>
    <xf numFmtId="3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9" fontId="13" fillId="0" borderId="0" xfId="0" applyNumberFormat="1" applyFont="1"/>
    <xf numFmtId="0" fontId="13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27000</v>
      </c>
    </row>
    <row r="7" spans="1:2" x14ac:dyDescent="0.25">
      <c r="A7" s="4" t="s">
        <v>6</v>
      </c>
      <c r="B7" s="5">
        <v>3770</v>
      </c>
    </row>
    <row r="8" spans="1:2" x14ac:dyDescent="0.25">
      <c r="A8" s="4" t="s">
        <v>7</v>
      </c>
      <c r="B8" s="5">
        <v>3100</v>
      </c>
    </row>
    <row r="9" spans="1:2" x14ac:dyDescent="0.25">
      <c r="A9" s="4" t="s">
        <v>8</v>
      </c>
      <c r="B9" s="5">
        <v>1900</v>
      </c>
    </row>
    <row r="10" spans="1:2" x14ac:dyDescent="0.25">
      <c r="A10" s="4" t="s">
        <v>9</v>
      </c>
      <c r="B10" s="7">
        <v>0.2</v>
      </c>
    </row>
    <row r="11" spans="1:2" x14ac:dyDescent="0.25">
      <c r="A11" s="4" t="s">
        <v>10</v>
      </c>
      <c r="B11" s="8">
        <v>10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9">
        <f>B7/B6*365</f>
      </c>
    </row>
    <row r="15" spans="1:2" x14ac:dyDescent="0.25">
      <c r="A15" s="4" t="s">
        <v>13</v>
      </c>
      <c r="B15" s="9">
        <f>B8/B5*365</f>
      </c>
    </row>
    <row r="16" spans="1:2" x14ac:dyDescent="0.25">
      <c r="A16" s="4" t="s">
        <v>14</v>
      </c>
      <c r="B16" s="9">
        <f>B9/B6*365</f>
      </c>
    </row>
    <row r="17" spans="1:2" x14ac:dyDescent="0.25">
      <c r="A17" s="10" t="s">
        <v>15</v>
      </c>
      <c r="B17" s="11">
        <f>B14+B15-B16</f>
      </c>
    </row>
    <row r="18" spans="1:2" x14ac:dyDescent="0.25">
      <c r="A18" s="4" t="s">
        <v>16</v>
      </c>
      <c r="B18" s="12">
        <f>B7+B8-B9</f>
      </c>
    </row>
    <row r="19" spans="1:2" x14ac:dyDescent="0.25">
      <c r="A19" s="4" t="s">
        <v>17</v>
      </c>
      <c r="B19" s="12">
        <f>B18/B17</f>
      </c>
    </row>
    <row r="20" spans="1:2" x14ac:dyDescent="0.25">
      <c r="A20" s="10" t="s">
        <v>18</v>
      </c>
      <c r="B20" s="13">
        <f>B19*B11</f>
      </c>
    </row>
    <row r="21" spans="1:2" x14ac:dyDescent="0.25">
      <c r="A21" s="10" t="s">
        <v>19</v>
      </c>
      <c r="B21" s="13">
        <f>B20*B10</f>
      </c>
    </row>
    <row r="23" ht="22" customHeight="1" spans="1:4" x14ac:dyDescent="0.25">
      <c r="A23" s="3" t="s">
        <v>20</v>
      </c>
      <c r="B23" s="3"/>
      <c r="C23" s="3"/>
      <c r="D23" s="3"/>
    </row>
    <row r="24" ht="24" customHeight="1" spans="1:4" x14ac:dyDescent="0.25">
      <c r="A24" s="14" t="s">
        <v>21</v>
      </c>
      <c r="B24" s="14"/>
      <c r="C24" s="14"/>
      <c r="D24" s="14"/>
    </row>
    <row r="25" ht="20" customHeight="1" spans="1:7" x14ac:dyDescent="0.25">
      <c r="A25" s="15" t="s">
        <v>22</v>
      </c>
      <c r="B25" s="15" t="s">
        <v>23</v>
      </c>
      <c r="C25" s="15" t="s">
        <v>24</v>
      </c>
      <c r="D25" s="15" t="s">
        <v>25</v>
      </c>
      <c r="E25" s="15" t="s">
        <v>26</v>
      </c>
      <c r="F25" s="15" t="s">
        <v>27</v>
      </c>
      <c r="G25" s="15" t="s">
        <v>28</v>
      </c>
    </row>
    <row r="26" spans="1:7" x14ac:dyDescent="0.25">
      <c r="A26" s="16">
        <f>_xlfn.LET(it,{"Pino tratado";"Eucalipto";"Álamo";"Herrajes";"Barnices";"Bisagras";"Tornillería";"Sellador"}, val,{9800;7200;3100;1800;1200;600;450;300}, cv,{0.22;0.35;0.6;0.45;0.9;0.55;1.3;1.1}, sIt,_xlfn._xlws.SORTBY(it,val,-1), sVal,_xlfn._xlws.SORT(val,,-1), sCv,_xlfn._xlws.SORTBY(cv,val,-1), cum,_xlfn.SCAN(0,sVal,_xlfn.LAMBDA(a,b,a+b))/SUM(val), abc,IF(cum&lt;=0.8,"A",IF(cum&lt;=0.95,"B","C")), xyz,IF(sCv&lt;0.5,"X",IF(sCv&lt;1,"Y","Z")), _xlfn.HSTACK(sIt,sVal,cum,abc,sCv,xyz,abc&amp;xyz))</f>
      </c>
      <c r="B26" s="17"/>
      <c r="C26" s="18"/>
      <c r="D26" s="19"/>
      <c r="E26" s="20"/>
      <c r="F26" s="19"/>
      <c r="G26" s="19"/>
    </row>
    <row r="27" spans="1:7" x14ac:dyDescent="0.25">
      <c r="A27" s="16"/>
      <c r="B27" s="17"/>
      <c r="C27" s="18"/>
      <c r="D27" s="19"/>
      <c r="E27" s="20"/>
      <c r="F27" s="19"/>
      <c r="G27" s="19"/>
    </row>
    <row r="28" spans="1:7" x14ac:dyDescent="0.25">
      <c r="A28" s="16"/>
      <c r="B28" s="17"/>
      <c r="C28" s="18"/>
      <c r="D28" s="19"/>
      <c r="E28" s="20"/>
      <c r="F28" s="19"/>
      <c r="G28" s="19"/>
    </row>
    <row r="29" spans="1:7" x14ac:dyDescent="0.25">
      <c r="A29" s="16"/>
      <c r="B29" s="17"/>
      <c r="C29" s="18"/>
      <c r="D29" s="19"/>
      <c r="E29" s="20"/>
      <c r="F29" s="19"/>
      <c r="G29" s="19"/>
    </row>
    <row r="30" spans="1:7" x14ac:dyDescent="0.25">
      <c r="A30" s="16"/>
      <c r="B30" s="17"/>
      <c r="C30" s="18"/>
      <c r="D30" s="19"/>
      <c r="E30" s="20"/>
      <c r="F30" s="19"/>
      <c r="G30" s="19"/>
    </row>
    <row r="31" spans="1:7" x14ac:dyDescent="0.25">
      <c r="A31" s="16"/>
      <c r="B31" s="17"/>
      <c r="C31" s="18"/>
      <c r="D31" s="19"/>
      <c r="E31" s="20"/>
      <c r="F31" s="19"/>
      <c r="G31" s="19"/>
    </row>
    <row r="32" spans="1:7" x14ac:dyDescent="0.25">
      <c r="A32" s="16"/>
      <c r="B32" s="17"/>
      <c r="C32" s="18"/>
      <c r="D32" s="19"/>
      <c r="E32" s="20"/>
      <c r="F32" s="19"/>
      <c r="G32" s="19"/>
    </row>
    <row r="33" spans="1:7" x14ac:dyDescent="0.25">
      <c r="A33" s="16"/>
      <c r="B33" s="17"/>
      <c r="C33" s="18"/>
      <c r="D33" s="19"/>
      <c r="E33" s="20"/>
      <c r="F33" s="19"/>
      <c r="G33" s="19"/>
    </row>
    <row r="35" ht="22" customHeight="1" spans="1:4" x14ac:dyDescent="0.25">
      <c r="A35" s="3" t="s">
        <v>29</v>
      </c>
      <c r="B35" s="3"/>
      <c r="C35" s="3"/>
      <c r="D35" s="3"/>
    </row>
    <row r="36" ht="34" customHeight="1" spans="1:4" x14ac:dyDescent="0.25">
      <c r="A36" s="21" t="s">
        <v>30</v>
      </c>
      <c r="B36" s="22">
        <f>"CCE de "&amp;TEXT(B17,"0")&amp;" días (DIO "&amp;TEXT(B14,"0")&amp;" + DSO "&amp;TEXT(B15,"0")&amp;" − DPO "&amp;TEXT(B16,"0")&amp;"). Cada día del ciclo inmoviliza "&amp;TEXT(B19,"#,##0")&amp;" miles."</f>
      </c>
      <c r="C36" s="22"/>
      <c r="D36" s="22"/>
    </row>
    <row r="37" ht="34" customHeight="1" spans="1:4" x14ac:dyDescent="0.25">
      <c r="A37" s="21" t="s">
        <v>31</v>
      </c>
      <c r="B37" s="22">
        <f>"Reducir el CCE en "&amp;B11&amp;" días libera "&amp;TEXT(B20,"#,##0")&amp;" miles de capital y suma "&amp;TEXT(B21,"#,##0")&amp;" miles de EVA — sin vender una unidad más. Ordenar el capital de trabajo rinde más que pelear margen."</f>
      </c>
      <c r="C37" s="22"/>
      <c r="D37" s="22"/>
    </row>
    <row r="39" spans="1:4" x14ac:dyDescent="0.25">
      <c r="A39" s="23" t="s">
        <v>32</v>
      </c>
      <c r="B39" s="23"/>
      <c r="C39" s="23"/>
      <c r="D39" s="23"/>
    </row>
  </sheetData>
  <mergeCells count="10">
    <mergeCell ref="A1:D1"/>
    <mergeCell ref="A2:D2"/>
    <mergeCell ref="A4:D4"/>
    <mergeCell ref="A13:D13"/>
    <mergeCell ref="A23:D23"/>
    <mergeCell ref="A24:D24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2.4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2.4 — Ciclo de conversión de efectivo, capital liberado y matriz ABC/XYZ</dc:title>
  <dc:subject/>
  <dc:description/>
  <cp:keywords/>
  <cp:category/>
  <cp:lastModifiedBy>Unknown</cp:lastModifiedBy>
  <dcterms:created xsi:type="dcterms:W3CDTF">2026-08-29T08:50:05Z</dcterms:created>
  <dcterms:modified xsi:type="dcterms:W3CDTF">2026-08-29T08:50:05Z</dcterms:modified>
</cp:coreProperties>
</file>