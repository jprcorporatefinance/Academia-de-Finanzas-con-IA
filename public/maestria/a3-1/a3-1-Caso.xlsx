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3.1" state="visible" r:id="rId4"/>
  </sheets>
  <calcPr calcId="171027"/>
</workbook>
</file>

<file path=xl/sharedStrings.xml><?xml version="1.0" encoding="utf-8"?>
<sst xmlns="http://schemas.openxmlformats.org/spreadsheetml/2006/main" count="36" uniqueCount="36">
  <si>
    <t>JPR CONSULTING · ASIGNATURA 3.1 — Costo del capital (WACC) de una empresa cerrada en un emergente</t>
  </si>
  <si>
    <t>Editá las celdas marfil. Se apalanca la beta, se calcula el Ke por tres métodos y se arma el WACC. La matriz dinámica compara los métodos de Ke lado a lado.</t>
  </si>
  <si>
    <t>1 · DATOS DE ENTRADA  (celdas marfil — editá acá)</t>
  </si>
  <si>
    <t>Tasa libre de riesgo (Rf)</t>
  </si>
  <si>
    <t>ERP maduro</t>
  </si>
  <si>
    <t>Beta desapalancada del sector</t>
  </si>
  <si>
    <t>Deuda/Patrimonio (D/E)</t>
  </si>
  <si>
    <t>Tasa impositiva</t>
  </si>
  <si>
    <t>Correlación con el mercado (ρ)</t>
  </si>
  <si>
    <t>R² (para Pereiro)</t>
  </si>
  <si>
    <t>Prima de riesgo país (CRP)</t>
  </si>
  <si>
    <t>Lambda (exposición al riesgo país)</t>
  </si>
  <si>
    <t>Default spread (rating sintético)</t>
  </si>
  <si>
    <t>Patrimonio (E)</t>
  </si>
  <si>
    <t>Deuda (D)</t>
  </si>
  <si>
    <t>2 · CÁLCULOS E INDICADORES</t>
  </si>
  <si>
    <t>Beta apalancada (β_L)</t>
  </si>
  <si>
    <t>Beta Total (β_L/ρ)</t>
  </si>
  <si>
    <t>Ke — CAPM emergente (β_L, lambda)</t>
  </si>
  <si>
    <t>Ke — dueño no diversificado (Beta Total)</t>
  </si>
  <si>
    <t>Ke — corrección de Pereiro (1−R²)</t>
  </si>
  <si>
    <t>Kd antes de impuestos</t>
  </si>
  <si>
    <t>Kd después de impuestos</t>
  </si>
  <si>
    <t>Peso del patrimonio (E/V)</t>
  </si>
  <si>
    <t>Peso de la deuda (D/V)</t>
  </si>
  <si>
    <t>WACC (con Ke del dueño)</t>
  </si>
  <si>
    <t>Spread vs ROIC (21,3%)</t>
  </si>
  <si>
    <t>3 · Comparación de métodos de Ke  (matriz dinámica · una fórmula derrama toda la tabla)</t>
  </si>
  <si>
    <t>Los tres métodos conviven en el programa; para la empresa familiar cerrada, el Ke relevante es el de Beta Total (dueño no diversificado).</t>
  </si>
  <si>
    <t>Método</t>
  </si>
  <si>
    <t>Ke</t>
  </si>
  <si>
    <t>Comentario</t>
  </si>
  <si>
    <t>4 · CONCLUSIONES AUTOMÁTICAS</t>
  </si>
  <si>
    <t>WACC</t>
  </si>
  <si>
    <t>Umbral de valor</t>
  </si>
  <si>
    <t>JPR Consulting · Maestría en Finanzas Corporativas Aplicadas con IA · UNNE — Asignatura 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</si>
</sst>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164" fontId="5" fillId="4" borderId="1" xfId="0" applyNumberFormat="1" applyFont="1" applyFill="1" applyBorder="1"/>
    <xf numFmtId="4" fontId="5" fillId="4" borderId="1" xfId="0" applyNumberFormat="1" applyFont="1" applyFill="1" applyBorder="1"/>
    <xf numFmtId="9" fontId="5" fillId="4" borderId="1" xfId="0" applyNumberFormat="1" applyFont="1" applyFill="1" applyBorder="1"/>
    <xf numFmtId="3" fontId="5" fillId="4" borderId="1" xfId="0" applyNumberFormat="1" applyFont="1" applyFill="1" applyBorder="1"/>
    <xf numFmtId="4" fontId="6" fillId="5" borderId="0" xfId="0" applyNumberFormat="1" applyFont="1" applyFill="1"/>
    <xf numFmtId="0" fontId="7" fillId="0" borderId="0" xfId="0" applyFont="1"/>
    <xf numFmtId="4" fontId="8" fillId="6" borderId="1" xfId="0" applyNumberFormat="1" applyFont="1" applyFill="1" applyBorder="1"/>
    <xf numFmtId="164" fontId="6" fillId="5" borderId="0" xfId="0" applyNumberFormat="1" applyFont="1" applyFill="1"/>
    <xf numFmtId="164" fontId="8" fillId="6" borderId="1" xfId="0" applyNumberFormat="1" applyFont="1" applyFill="1" applyBorder="1"/>
    <xf numFmtId="0" fontId="9" fillId="0" borderId="0" xfId="0" applyFont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11" fillId="0" borderId="0" xfId="0" applyFont="1"/>
    <xf numFmtId="164" fontId="12" fillId="0" borderId="0" xfId="0" applyNumberFormat="1" applyFont="1"/>
    <xf numFmtId="0" fontId="12" fillId="0" borderId="0" xfId="0" applyFont="1"/>
    <xf numFmtId="0" fontId="5" fillId="0" borderId="0" xfId="0" applyFont="1"/>
    <xf numFmtId="0" fontId="13" fillId="6" borderId="0" xfId="0" applyFont="1" applyFill="1" applyAlignment="1">
      <alignment vertical="center" wrapText="1" inden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0.045</v>
      </c>
    </row>
    <row r="6" spans="1:2" x14ac:dyDescent="0.25">
      <c r="A6" s="4" t="s">
        <v>4</v>
      </c>
      <c r="B6" s="5">
        <v>0.055</v>
      </c>
    </row>
    <row r="7" spans="1:2" x14ac:dyDescent="0.25">
      <c r="A7" s="4" t="s">
        <v>5</v>
      </c>
      <c r="B7" s="6">
        <v>0.85</v>
      </c>
    </row>
    <row r="8" spans="1:2" x14ac:dyDescent="0.25">
      <c r="A8" s="4" t="s">
        <v>6</v>
      </c>
      <c r="B8" s="6">
        <v>1.23</v>
      </c>
    </row>
    <row r="9" spans="1:2" x14ac:dyDescent="0.25">
      <c r="A9" s="4" t="s">
        <v>7</v>
      </c>
      <c r="B9" s="7">
        <v>0.35</v>
      </c>
    </row>
    <row r="10" spans="1:2" x14ac:dyDescent="0.25">
      <c r="A10" s="4" t="s">
        <v>8</v>
      </c>
      <c r="B10" s="6">
        <v>0.5</v>
      </c>
    </row>
    <row r="11" spans="1:2" x14ac:dyDescent="0.25">
      <c r="A11" s="4" t="s">
        <v>9</v>
      </c>
      <c r="B11" s="6">
        <v>0.4</v>
      </c>
    </row>
    <row r="12" spans="1:2" x14ac:dyDescent="0.25">
      <c r="A12" s="4" t="s">
        <v>10</v>
      </c>
      <c r="B12" s="5">
        <v>0.097</v>
      </c>
    </row>
    <row r="13" spans="1:2" x14ac:dyDescent="0.25">
      <c r="A13" s="4" t="s">
        <v>11</v>
      </c>
      <c r="B13" s="6">
        <v>1</v>
      </c>
    </row>
    <row r="14" spans="1:2" x14ac:dyDescent="0.25">
      <c r="A14" s="4" t="s">
        <v>12</v>
      </c>
      <c r="B14" s="5">
        <v>0.11</v>
      </c>
    </row>
    <row r="15" spans="1:2" x14ac:dyDescent="0.25">
      <c r="A15" s="4" t="s">
        <v>13</v>
      </c>
      <c r="B15" s="8">
        <v>5270</v>
      </c>
    </row>
    <row r="16" spans="1:2" x14ac:dyDescent="0.25">
      <c r="A16" s="4" t="s">
        <v>14</v>
      </c>
      <c r="B16" s="8">
        <v>6500</v>
      </c>
    </row>
    <row r="18" ht="22" customHeight="1" spans="1:4" x14ac:dyDescent="0.25">
      <c r="A18" s="3" t="s">
        <v>15</v>
      </c>
      <c r="B18" s="3"/>
      <c r="C18" s="3"/>
      <c r="D18" s="3"/>
    </row>
    <row r="19" spans="1:2" x14ac:dyDescent="0.25">
      <c r="A19" s="4" t="s">
        <v>16</v>
      </c>
      <c r="B19" s="9">
        <f>B7*(1+(1-B9)*B8)</f>
      </c>
    </row>
    <row r="20" spans="1:2" x14ac:dyDescent="0.25">
      <c r="A20" s="10" t="s">
        <v>17</v>
      </c>
      <c r="B20" s="11">
        <f>B19/B10</f>
      </c>
    </row>
    <row r="21" spans="1:2" x14ac:dyDescent="0.25">
      <c r="A21" s="4" t="s">
        <v>18</v>
      </c>
      <c r="B21" s="12">
        <f>B5+B19*B6+B13*B12</f>
      </c>
    </row>
    <row r="22" spans="1:2" x14ac:dyDescent="0.25">
      <c r="A22" s="10" t="s">
        <v>19</v>
      </c>
      <c r="B22" s="13">
        <f>B5+B20*B6+B13*B12</f>
      </c>
    </row>
    <row r="23" spans="1:2" x14ac:dyDescent="0.25">
      <c r="A23" s="4" t="s">
        <v>20</v>
      </c>
      <c r="B23" s="12">
        <f>B5+(1-B11)*B20*B6+B12</f>
      </c>
    </row>
    <row r="24" spans="1:2" x14ac:dyDescent="0.25">
      <c r="A24" s="4" t="s">
        <v>21</v>
      </c>
      <c r="B24" s="12">
        <f>B5+B14</f>
      </c>
    </row>
    <row r="25" spans="1:2" x14ac:dyDescent="0.25">
      <c r="A25" s="4" t="s">
        <v>22</v>
      </c>
      <c r="B25" s="12">
        <f>B24*(1-B9)</f>
      </c>
    </row>
    <row r="26" spans="1:2" x14ac:dyDescent="0.25">
      <c r="A26" s="4" t="s">
        <v>23</v>
      </c>
      <c r="B26" s="12">
        <f>B15/(B15+B16)</f>
      </c>
    </row>
    <row r="27" spans="1:2" x14ac:dyDescent="0.25">
      <c r="A27" s="4" t="s">
        <v>24</v>
      </c>
      <c r="B27" s="12">
        <f>B16/(B15+B16)</f>
      </c>
    </row>
    <row r="28" spans="1:2" x14ac:dyDescent="0.25">
      <c r="A28" s="10" t="s">
        <v>25</v>
      </c>
      <c r="B28" s="13">
        <f>B26*B22+B27*B25</f>
      </c>
    </row>
    <row r="29" spans="1:2" x14ac:dyDescent="0.25">
      <c r="A29" s="4" t="s">
        <v>26</v>
      </c>
      <c r="B29" s="12">
        <f>0.213-B28</f>
      </c>
    </row>
    <row r="31" ht="22" customHeight="1" spans="1:4" x14ac:dyDescent="0.25">
      <c r="A31" s="3" t="s">
        <v>27</v>
      </c>
      <c r="B31" s="3"/>
      <c r="C31" s="3"/>
      <c r="D31" s="3"/>
    </row>
    <row r="32" ht="24" customHeight="1" spans="1:4" x14ac:dyDescent="0.25">
      <c r="A32" s="14" t="s">
        <v>28</v>
      </c>
      <c r="B32" s="14"/>
      <c r="C32" s="14"/>
      <c r="D32" s="14"/>
    </row>
    <row r="33" ht="20" customHeight="1" spans="1:3" x14ac:dyDescent="0.25">
      <c r="A33" s="15" t="s">
        <v>29</v>
      </c>
      <c r="B33" s="15" t="s">
        <v>30</v>
      </c>
      <c r="C33" s="15" t="s">
        <v>31</v>
      </c>
    </row>
    <row r="34" spans="1:3" x14ac:dyDescent="0.25">
      <c r="A34" s="16">
        <f>_xlfn.LET(nom,{"CAPM emergente (β_L)";"Beta Total (no diversificado)";"Pereiro (1−R²)"}, ke,_xlfn.VSTACK(B21,B22,B23), com,{"Inversor diversificado";"Dueño familiar: TODO el riesgo";"Evita el doble conteo del riesgo país"}, _xlfn.HSTACK(nom,ke,com))</f>
      </c>
      <c r="B34" s="17"/>
      <c r="C34" s="18"/>
    </row>
    <row r="35" spans="1:3" x14ac:dyDescent="0.25">
      <c r="A35" s="16"/>
      <c r="B35" s="17"/>
      <c r="C35" s="18"/>
    </row>
    <row r="36" spans="1:3" x14ac:dyDescent="0.25">
      <c r="A36" s="16"/>
      <c r="B36" s="17"/>
      <c r="C36" s="18"/>
    </row>
    <row r="38" ht="22" customHeight="1" spans="1:4" x14ac:dyDescent="0.25">
      <c r="A38" s="3" t="s">
        <v>32</v>
      </c>
      <c r="B38" s="3"/>
      <c r="C38" s="3"/>
      <c r="D38" s="3"/>
    </row>
    <row r="39" ht="34" customHeight="1" spans="1:4" x14ac:dyDescent="0.25">
      <c r="A39" s="19" t="s">
        <v>33</v>
      </c>
      <c r="B39" s="20">
        <f>"WACC ≈ "&amp;TEXT(B28,"0.0%")&amp;" (Ke dueño "&amp;TEXT(B22,"0.0%")&amp;", Kd después de impuestos "&amp;TEXT(B25,"0.0%")&amp;"). Ponderaciones: "&amp;TEXT(B26,"0%")&amp;" patrimonio, "&amp;TEXT(B27,"0%")&amp;" deuda."</f>
      </c>
      <c r="C39" s="20"/>
      <c r="D39" s="20"/>
    </row>
    <row r="40" ht="34" customHeight="1" spans="1:4" x14ac:dyDescent="0.25">
      <c r="A40" s="19" t="s">
        <v>34</v>
      </c>
      <c r="B40" s="20">
        <f>IF(B29&gt;0,"ROIC (21,3%) supera al WACC por "&amp;TEXT(B29,"0.0%")&amp;": crea valor, pero por un margen fino. Con un RONIC menor, crecer destruiría valor (4.2).","El WACC supera al ROIC: la empresa destruye valor al costo actual del capital.")</f>
      </c>
      <c r="C40" s="20"/>
      <c r="D40" s="20"/>
    </row>
    <row r="42" spans="1:4" x14ac:dyDescent="0.25">
      <c r="A42" s="21" t="s">
        <v>35</v>
      </c>
      <c r="B42" s="21"/>
      <c r="C42" s="21"/>
      <c r="D42" s="21"/>
    </row>
  </sheetData>
  <mergeCells count="10">
    <mergeCell ref="A1:D1"/>
    <mergeCell ref="A2:D2"/>
    <mergeCell ref="A4:D4"/>
    <mergeCell ref="A18:D18"/>
    <mergeCell ref="A31:D31"/>
    <mergeCell ref="A32:D32"/>
    <mergeCell ref="A38:D38"/>
    <mergeCell ref="B39:D39"/>
    <mergeCell ref="B40:D40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3.1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3.1 — Costo del capital (WACC) de una empresa cerrada en un emergente</dc:title>
  <dc:subject/>
  <dc:description/>
  <cp:keywords/>
  <cp:category/>
  <cp:lastModifiedBy>Unknown</cp:lastModifiedBy>
  <dcterms:created xsi:type="dcterms:W3CDTF">2026-08-18T19:17:50Z</dcterms:created>
  <dcterms:modified xsi:type="dcterms:W3CDTF">2026-08-18T19:17:50Z</dcterms:modified>
</cp:coreProperties>
</file>