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g 3.2" state="visible" r:id="rId4"/>
  </sheets>
  <calcPr calcId="171027"/>
</workbook>
</file>

<file path=xl/sharedStrings.xml><?xml version="1.0" encoding="utf-8"?>
<sst xmlns="http://schemas.openxmlformats.org/spreadsheetml/2006/main" count="23" uniqueCount="23">
  <si>
    <t>JPR CONSULTING · ASIGNATURA 3.2 — Scoring crediticio de la cartera (regresión logística con MMULT)</t>
  </si>
  <si>
    <t>Editá los coeficientes y umbrales (celdas marfil). El score de cada cliente se calcula con MMULT (features × coeficientes) y la sigmoide; una sola fórmula derrama toda la cartera con su PD y decisión, y se computa la exactitud contra la mora observada.</t>
  </si>
  <si>
    <t>1 · DATOS DE ENTRADA  (celdas marfil — editá acá)</t>
  </si>
  <si>
    <t>Intercepto (b₀)</t>
  </si>
  <si>
    <t>Coef. antigüedad</t>
  </si>
  <si>
    <t>Coef. utilización del límite</t>
  </si>
  <si>
    <t>Coef. atrasos recientes</t>
  </si>
  <si>
    <t>Coef. exposición relativa</t>
  </si>
  <si>
    <t>Umbral “Revisar” (PD &gt;)</t>
  </si>
  <si>
    <t>Umbral “Rechazar” (PD &gt;)</t>
  </si>
  <si>
    <t>2 · CÁLCULOS E INDICADORES</t>
  </si>
  <si>
    <t>Exactitud del modelo (vs mora observada)</t>
  </si>
  <si>
    <t>3 · Scoring de la cartera (una fórmula: MMULT + sigmoide + decisión)  (matriz dinámica · una fórmula derrama toda la tabla)</t>
  </si>
  <si>
    <t>La matriz de features por los coeficientes (MMULT) da el score; la sigmoide lo convierte en PD; los umbrales deciden. Cambiá un coeficiente y toda la cartera se recalcula.</t>
  </si>
  <si>
    <t>Cliente</t>
  </si>
  <si>
    <t>Score z</t>
  </si>
  <si>
    <t>PD</t>
  </si>
  <si>
    <t>Decisión</t>
  </si>
  <si>
    <t>Mora real</t>
  </si>
  <si>
    <t>4 · CONCLUSIONES AUTOMÁTICAS</t>
  </si>
  <si>
    <t>Desempeño</t>
  </si>
  <si>
    <t>Gobierno</t>
  </si>
  <si>
    <t>JPR Consulting · Maestría en Finanzas Corporativas Aplicadas con IA · UNNE — Asignatura 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</si>
</sst>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4F1EA"/>
      <sz val="13"/>
      <name val="IBM Plex Sans"/>
    </font>
    <font>
      <i/>
      <color rgb="FF5F646C"/>
      <sz val="9.5"/>
      <name val="IBM Plex Sans"/>
    </font>
    <font>
      <b/>
      <color rgb="FF8FD3B7"/>
      <sz val="10.5"/>
      <name val="IBM Plex Mono"/>
    </font>
    <font>
      <sz val="10.5"/>
      <name val="IBM Plex Sans"/>
    </font>
    <font>
      <b/>
      <color rgb="FF1A1D22"/>
      <sz val="10.5"/>
      <name val="IBM Plex Sans"/>
    </font>
    <font>
      <b/>
      <sz val="10.5"/>
      <name val="IBM Plex Sans"/>
    </font>
    <font>
      <b/>
      <color rgb="FF0E4E3B"/>
      <sz val="10.5"/>
      <name val="IBM Plex Sans"/>
    </font>
    <font>
      <i/>
      <color rgb="FF8A8F97"/>
      <sz val="9"/>
      <name val="IBM Plex Sans"/>
    </font>
    <font>
      <b/>
      <color rgb="FFF4F1EA"/>
      <sz val="9.5"/>
      <name val="IBM Plex Sans"/>
    </font>
    <font>
      <color rgb="FF33373D"/>
      <sz val="9.5"/>
      <name val="IBM Plex Sans"/>
    </font>
    <font>
      <color rgb="FF33373D"/>
      <sz val="9.5"/>
      <name val="IBM Plex Mono"/>
    </font>
    <font>
      <color rgb="FF0E4E3B"/>
      <sz val="10.5"/>
      <name val="IBM Plex Sans"/>
    </font>
    <font>
      <color rgb="FF8A8F97"/>
      <sz val="8.5"/>
      <name val="IBM Plex Mono"/>
    </font>
  </fonts>
  <fills count="7">
    <fill>
      <patternFill patternType="none"/>
    </fill>
    <fill>
      <patternFill patternType="gray125"/>
    </fill>
    <fill>
      <patternFill patternType="solid">
        <fgColor rgb="FF0A0C0F"/>
      </patternFill>
    </fill>
    <fill>
      <patternFill patternType="solid">
        <fgColor rgb="FF12614A"/>
      </patternFill>
    </fill>
    <fill>
      <patternFill patternType="solid">
        <fgColor rgb="FFF4F1EA"/>
      </patternFill>
    </fill>
    <fill>
      <patternFill patternType="solid">
        <fgColor rgb="FFEFF7F2"/>
      </patternFill>
    </fill>
    <fill>
      <patternFill patternType="solid">
        <fgColor rgb="FF0E4E3B"/>
      </patternFill>
    </fill>
  </fills>
  <borders count="2">
    <border>
      <left/>
      <right/>
      <top/>
      <bottom/>
      <diagonal/>
    </border>
    <border>
      <left style="thin">
        <color rgb="FF1E8F6B"/>
      </left>
      <right style="thin">
        <color rgb="FF1E8F6B"/>
      </right>
      <top style="thin">
        <color rgb="FF1E8F6B"/>
      </top>
      <bottom style="thin">
        <color rgb="FF1E8F6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indent="1"/>
    </xf>
    <xf numFmtId="0" fontId="4" fillId="0" borderId="0" xfId="0" applyFont="1"/>
    <xf numFmtId="4" fontId="5" fillId="4" borderId="1" xfId="0" applyNumberFormat="1" applyFont="1" applyFill="1" applyBorder="1"/>
    <xf numFmtId="9" fontId="5" fillId="4" borderId="1" xfId="0" applyNumberFormat="1" applyFont="1" applyFill="1" applyBorder="1"/>
    <xf numFmtId="0" fontId="6" fillId="0" borderId="0" xfId="0" applyFont="1"/>
    <xf numFmtId="9" fontId="7" fillId="5" borderId="1" xfId="0" applyNumberFormat="1" applyFont="1" applyFill="1" applyBorder="1"/>
    <xf numFmtId="0" fontId="8" fillId="0" borderId="0" xfId="0" applyFont="1" applyAlignment="1">
      <alignment vertical="center" wrapText="1"/>
    </xf>
    <xf numFmtId="0" fontId="9" fillId="6" borderId="0" xfId="0" applyFont="1" applyFill="1" applyAlignment="1">
      <alignment vertical="center" wrapText="1"/>
    </xf>
    <xf numFmtId="0" fontId="10" fillId="0" borderId="0" xfId="0" applyFont="1"/>
    <xf numFmtId="4" fontId="11" fillId="0" borderId="0" xfId="0" applyNumberFormat="1" applyFont="1"/>
    <xf numFmtId="9" fontId="11" fillId="0" borderId="0" xfId="0" applyNumberFormat="1" applyFont="1"/>
    <xf numFmtId="0" fontId="11" fillId="0" borderId="0" xfId="0" applyFont="1"/>
    <xf numFmtId="0" fontId="5" fillId="0" borderId="0" xfId="0" applyFont="1"/>
    <xf numFmtId="0" fontId="12" fillId="5" borderId="0" xfId="0" applyFont="1" applyFill="1" applyAlignment="1">
      <alignment vertical="center" wrapText="1" indent="1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6" outlineLevelRow="0" outlineLevelCol="0" x14ac:dyDescent="55" customHeight="1"/>
  <cols>
    <col min="1" max="1" width="46" customWidth="1"/>
    <col min="2" max="2" width="18" customWidth="1"/>
    <col min="3" max="3" width="14" customWidth="1"/>
    <col min="4" max="4" width="58" customWidth="1"/>
  </cols>
  <sheetData>
    <row r="1" ht="28" customHeight="1" spans="1:4" x14ac:dyDescent="0.25">
      <c r="A1" s="1" t="s">
        <v>0</v>
      </c>
      <c r="B1" s="1"/>
      <c r="C1" s="1"/>
      <c r="D1" s="1"/>
    </row>
    <row r="2" ht="26" customHeight="1" spans="1:4" x14ac:dyDescent="0.25">
      <c r="A2" s="2" t="s">
        <v>1</v>
      </c>
      <c r="B2" s="2"/>
      <c r="C2" s="2"/>
      <c r="D2" s="2"/>
    </row>
    <row r="4" ht="22" customHeight="1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-1.5</v>
      </c>
    </row>
    <row r="6" spans="1:2" x14ac:dyDescent="0.25">
      <c r="A6" s="4" t="s">
        <v>4</v>
      </c>
      <c r="B6" s="5">
        <v>-0.3</v>
      </c>
    </row>
    <row r="7" spans="1:2" x14ac:dyDescent="0.25">
      <c r="A7" s="4" t="s">
        <v>5</v>
      </c>
      <c r="B7" s="5">
        <v>2.5</v>
      </c>
    </row>
    <row r="8" spans="1:2" x14ac:dyDescent="0.25">
      <c r="A8" s="4" t="s">
        <v>6</v>
      </c>
      <c r="B8" s="5">
        <v>1.2</v>
      </c>
    </row>
    <row r="9" spans="1:2" x14ac:dyDescent="0.25">
      <c r="A9" s="4" t="s">
        <v>7</v>
      </c>
      <c r="B9" s="5">
        <v>1</v>
      </c>
    </row>
    <row r="10" spans="1:2" x14ac:dyDescent="0.25">
      <c r="A10" s="4" t="s">
        <v>8</v>
      </c>
      <c r="B10" s="6">
        <v>0.3</v>
      </c>
    </row>
    <row r="11" spans="1:2" x14ac:dyDescent="0.25">
      <c r="A11" s="4" t="s">
        <v>9</v>
      </c>
      <c r="B11" s="6">
        <v>0.55</v>
      </c>
    </row>
    <row r="13" ht="22" customHeight="1" spans="1:4" x14ac:dyDescent="0.25">
      <c r="A13" s="3" t="s">
        <v>10</v>
      </c>
      <c r="B13" s="3"/>
      <c r="C13" s="3"/>
      <c r="D13" s="3"/>
    </row>
    <row r="14" spans="1:2" x14ac:dyDescent="0.25">
      <c r="A14" s="7" t="s">
        <v>11</v>
      </c>
      <c r="B14" s="8">
        <f>_xlfn.LET(X,{2,0.30,0,0.20;1,0.85,2,0.60;5,0.20,0,0.15;3,0.95,3,0.80;8,0.10,0,0.05;2,0.70,1,0.45;1,0.60,0,0.35;4,0.40,1,0.25}, real,{0;1;0;1;0;1;0;0}, z,MMULT(X,_xlfn.VSTACK(B6,B7,B8,B9))+B5, pd,1/(1+EXP(-z)), pred,IF(pd&gt;0.5,1,0), AVERAGE(IF(pred=real,1,0)))</f>
      </c>
    </row>
    <row r="16" ht="22" customHeight="1" spans="1:4" x14ac:dyDescent="0.25">
      <c r="A16" s="3" t="s">
        <v>12</v>
      </c>
      <c r="B16" s="3"/>
      <c r="C16" s="3"/>
      <c r="D16" s="3"/>
    </row>
    <row r="17" ht="24" customHeight="1" spans="1:4" x14ac:dyDescent="0.25">
      <c r="A17" s="9" t="s">
        <v>13</v>
      </c>
      <c r="B17" s="9"/>
      <c r="C17" s="9"/>
      <c r="D17" s="9"/>
    </row>
    <row r="18" ht="20" customHeight="1" spans="1:5" x14ac:dyDescent="0.25">
      <c r="A18" s="10" t="s">
        <v>14</v>
      </c>
      <c r="B18" s="10" t="s">
        <v>15</v>
      </c>
      <c r="C18" s="10" t="s">
        <v>16</v>
      </c>
      <c r="D18" s="10" t="s">
        <v>17</v>
      </c>
      <c r="E18" s="10" t="s">
        <v>18</v>
      </c>
    </row>
    <row r="19" spans="1:5" x14ac:dyDescent="0.25">
      <c r="A19" s="11">
        <f>_xlfn.LET(nom,{"Corralón Norte";"Constructora Sur";"Maderera Este";"Obras del Río";"Aberturas Centro";"Techos SA";"Pinos SRL";"Casa y Campo"}, X,{2,0.30,0,0.20;1,0.85,2,0.60;5,0.20,0,0.15;3,0.95,3,0.80;8,0.10,0,0.05;2,0.70,1,0.45;1,0.60,0,0.35;4,0.40,1,0.25}, real,{"No";"Sí";"No";"Sí";"No";"Sí";"No";"No"}, z,MMULT(X,_xlfn.VSTACK(B6,B7,B8,B9))+B5, pd,1/(1+EXP(-z)), dec,IF(pd&gt;B11,"Rechazar",IF(pd&gt;B10,"Revisar","Aprobar")), _xlfn.HSTACK(nom,z,pd,dec,real))</f>
      </c>
      <c r="B19" s="12"/>
      <c r="C19" s="13"/>
      <c r="D19" s="14"/>
      <c r="E19" s="14"/>
    </row>
    <row r="20" spans="1:5" x14ac:dyDescent="0.25">
      <c r="A20" s="11"/>
      <c r="B20" s="12"/>
      <c r="C20" s="13"/>
      <c r="D20" s="14"/>
      <c r="E20" s="14"/>
    </row>
    <row r="21" spans="1:5" x14ac:dyDescent="0.25">
      <c r="A21" s="11"/>
      <c r="B21" s="12"/>
      <c r="C21" s="13"/>
      <c r="D21" s="14"/>
      <c r="E21" s="14"/>
    </row>
    <row r="22" spans="1:5" x14ac:dyDescent="0.25">
      <c r="A22" s="11"/>
      <c r="B22" s="12"/>
      <c r="C22" s="13"/>
      <c r="D22" s="14"/>
      <c r="E22" s="14"/>
    </row>
    <row r="23" spans="1:5" x14ac:dyDescent="0.25">
      <c r="A23" s="11"/>
      <c r="B23" s="12"/>
      <c r="C23" s="13"/>
      <c r="D23" s="14"/>
      <c r="E23" s="14"/>
    </row>
    <row r="24" spans="1:5" x14ac:dyDescent="0.25">
      <c r="A24" s="11"/>
      <c r="B24" s="12"/>
      <c r="C24" s="13"/>
      <c r="D24" s="14"/>
      <c r="E24" s="14"/>
    </row>
    <row r="25" spans="1:5" x14ac:dyDescent="0.25">
      <c r="A25" s="11"/>
      <c r="B25" s="12"/>
      <c r="C25" s="13"/>
      <c r="D25" s="14"/>
      <c r="E25" s="14"/>
    </row>
    <row r="26" spans="1:5" x14ac:dyDescent="0.25">
      <c r="A26" s="11"/>
      <c r="B26" s="12"/>
      <c r="C26" s="13"/>
      <c r="D26" s="14"/>
      <c r="E26" s="14"/>
    </row>
    <row r="28" ht="22" customHeight="1" spans="1:4" x14ac:dyDescent="0.25">
      <c r="A28" s="3" t="s">
        <v>19</v>
      </c>
      <c r="B28" s="3"/>
      <c r="C28" s="3"/>
      <c r="D28" s="3"/>
    </row>
    <row r="29" ht="34" customHeight="1" spans="1:4" x14ac:dyDescent="0.25">
      <c r="A29" s="15" t="s">
        <v>20</v>
      </c>
      <c r="B29" s="16">
        <f>"Exactitud del modelo contra la mora observada: "&amp;TEXT(B14,"0%")&amp;". En cartera desbalanceada, mirar también precisión y recall, no solo la exactitud."</f>
      </c>
      <c r="C29" s="16"/>
      <c r="D29" s="16"/>
    </row>
    <row r="30" ht="34" customHeight="1" spans="1:4" x14ac:dyDescent="0.25">
      <c r="A30" s="15" t="s">
        <v>21</v>
      </c>
      <c r="B30" s="16">
        <f>"Cada decisión debe poder explicarse por el aporte de sus variables (utilización, atrasos, antigüedad, exposición). Un scoring que no se explica no se usa para decidir crédito."</f>
      </c>
      <c r="C30" s="16"/>
      <c r="D30" s="16"/>
    </row>
    <row r="32" spans="1:4" x14ac:dyDescent="0.25">
      <c r="A32" s="17" t="s">
        <v>22</v>
      </c>
      <c r="B32" s="17"/>
      <c r="C32" s="17"/>
      <c r="D32" s="17"/>
    </row>
  </sheetData>
  <mergeCells count="10">
    <mergeCell ref="A1:D1"/>
    <mergeCell ref="A2:D2"/>
    <mergeCell ref="A4:D4"/>
    <mergeCell ref="A13:D13"/>
    <mergeCell ref="A16:D16"/>
    <mergeCell ref="A17:D17"/>
    <mergeCell ref="A28:D28"/>
    <mergeCell ref="B29:D29"/>
    <mergeCell ref="B30:D30"/>
    <mergeCell ref="A32:D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Asig 3.2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 Consulting · Maestría FC+IA · UNNE</dc:creator>
  <dc:title>Asignatura 3.2 — Scoring crediticio de la cartera (regresión logística con MMULT)</dc:title>
  <dc:subject/>
  <dc:description/>
  <cp:keywords/>
  <cp:category/>
  <cp:lastModifiedBy>Unknown</cp:lastModifiedBy>
  <dcterms:created xsi:type="dcterms:W3CDTF">2026-08-18T11:02:55Z</dcterms:created>
  <dcterms:modified xsi:type="dcterms:W3CDTF">2026-08-18T11:02:55Z</dcterms:modified>
</cp:coreProperties>
</file>