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3.3" state="visible" r:id="rId4"/>
  </sheets>
  <calcPr calcId="171027"/>
</workbook>
</file>

<file path=xl/sharedStrings.xml><?xml version="1.0" encoding="utf-8"?>
<sst xmlns="http://schemas.openxmlformats.org/spreadsheetml/2006/main" count="26" uniqueCount="25">
  <si>
    <t>JPR CONSULTING · ASIGNATURA 3.3 — Monte Carlo del valor de la firma (simulación vectorizada)</t>
  </si>
  <si>
    <t>Editá los parámetros (celdas marfil). La simulación sortea el margen operativo N veces con RANDARRAY + NORM.S.INV, calcula el valor en cada iteración y resume la distribución. Presioná F9 para volver a simular.</t>
  </si>
  <si>
    <t>1 · DATOS DE ENTRADA  (celdas marfil — editá acá)</t>
  </si>
  <si>
    <t>Iteraciones</t>
  </si>
  <si>
    <t>Ventas</t>
  </si>
  <si>
    <t>Margen operativo medio</t>
  </si>
  <si>
    <t>Desvío del margen (σ)</t>
  </si>
  <si>
    <t>Tasa impositiva</t>
  </si>
  <si>
    <t>WACC</t>
  </si>
  <si>
    <t>Capital invertido (umbral)</t>
  </si>
  <si>
    <t>2 · CÁLCULOS E INDICADORES</t>
  </si>
  <si>
    <t>Valor puntual (con el margen medio)</t>
  </si>
  <si>
    <t>3 · Distribución del valor (Monte Carlo de N iteraciones)  (matriz dinámica · una fórmula derrama toda la tabla)</t>
  </si>
  <si>
    <t>Una sola fórmula sortea N márgenes (RANDARRAY + NORM.S.INV), calcula el valor en cada uno y devuelve los estadísticos. La última fila es la probabilidad de destruir valor. La fila “P(...)” muestra una proporción (0–1).</t>
  </si>
  <si>
    <t>Estadístico</t>
  </si>
  <si>
    <t>Valor</t>
  </si>
  <si>
    <t>4 · Muestra de 12 iteraciones (ilustrativa)  (matriz dinámica · una fórmula derrama toda la tabla)</t>
  </si>
  <si>
    <t>Doce sorteos de ejemplo para ver el mecanismo. Cada F9 genera una muestra nueva.</t>
  </si>
  <si>
    <t>Iteración</t>
  </si>
  <si>
    <t>Margen simulado</t>
  </si>
  <si>
    <t>NOPAT</t>
  </si>
  <si>
    <t>5 · CONCLUSIONES AUTOMÁTICAS</t>
  </si>
  <si>
    <t>Interpretación</t>
  </si>
  <si>
    <t>Método</t>
  </si>
  <si>
    <t>JPR Consulting · Maestría en Finanzas Corporativas Aplicadas con IA · UNNE — Asignatura 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</si>
</sst>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7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10" fontId="5" fillId="4" borderId="1" xfId="0" applyNumberFormat="1" applyFont="1" applyFill="1" applyBorder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0" fontId="6" fillId="0" borderId="0" xfId="0" applyFont="1"/>
    <xf numFmtId="3" fontId="7" fillId="5" borderId="1" xfId="0" applyNumberFormat="1" applyFont="1" applyFill="1" applyBorder="1"/>
    <xf numFmtId="0" fontId="8" fillId="0" borderId="0" xfId="0" applyFont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0" borderId="0" xfId="0" applyFont="1"/>
    <xf numFmtId="3" fontId="11" fillId="0" borderId="0" xfId="0" applyNumberFormat="1" applyFont="1"/>
    <xf numFmtId="3" fontId="10" fillId="0" borderId="0" xfId="0" applyNumberFormat="1" applyFont="1"/>
    <xf numFmtId="10" fontId="11" fillId="0" borderId="0" xfId="0" applyNumberFormat="1" applyFont="1"/>
    <xf numFmtId="0" fontId="5" fillId="0" borderId="0" xfId="0" applyFont="1"/>
    <xf numFmtId="0" fontId="12" fillId="5" borderId="0" xfId="0" applyFont="1" applyFill="1" applyAlignment="1">
      <alignment vertical="center" wrapText="1" inden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5">
        <v>42000</v>
      </c>
    </row>
    <row r="7" spans="1:2" x14ac:dyDescent="0.25">
      <c r="A7" s="4" t="s">
        <v>5</v>
      </c>
      <c r="B7" s="6">
        <v>0.0917</v>
      </c>
    </row>
    <row r="8" spans="1:2" x14ac:dyDescent="0.25">
      <c r="A8" s="4" t="s">
        <v>6</v>
      </c>
      <c r="B8" s="6">
        <v>0.015</v>
      </c>
    </row>
    <row r="9" spans="1:2" x14ac:dyDescent="0.25">
      <c r="A9" s="4" t="s">
        <v>7</v>
      </c>
      <c r="B9" s="7">
        <v>0.35</v>
      </c>
    </row>
    <row r="10" spans="1:2" x14ac:dyDescent="0.25">
      <c r="A10" s="4" t="s">
        <v>8</v>
      </c>
      <c r="B10" s="8">
        <v>0.195</v>
      </c>
    </row>
    <row r="11" spans="1:2" x14ac:dyDescent="0.25">
      <c r="A11" s="4" t="s">
        <v>9</v>
      </c>
      <c r="B11" s="5">
        <v>11770</v>
      </c>
    </row>
    <row r="13" ht="22" customHeight="1" spans="1:4" x14ac:dyDescent="0.25">
      <c r="A13" s="3" t="s">
        <v>10</v>
      </c>
      <c r="B13" s="3"/>
      <c r="C13" s="3"/>
      <c r="D13" s="3"/>
    </row>
    <row r="14" spans="1:2" x14ac:dyDescent="0.25">
      <c r="A14" s="9" t="s">
        <v>11</v>
      </c>
      <c r="B14" s="10">
        <f>B6*B7*(1-B9)/B10</f>
      </c>
    </row>
    <row r="16" ht="22" customHeight="1" spans="1:4" x14ac:dyDescent="0.25">
      <c r="A16" s="3" t="s">
        <v>12</v>
      </c>
      <c r="B16" s="3"/>
      <c r="C16" s="3"/>
      <c r="D16" s="3"/>
    </row>
    <row r="17" ht="24" customHeight="1" spans="1:4" x14ac:dyDescent="0.25">
      <c r="A17" s="11" t="s">
        <v>13</v>
      </c>
      <c r="B17" s="11"/>
      <c r="C17" s="11"/>
      <c r="D17" s="11"/>
    </row>
    <row r="18" ht="20" customHeight="1" spans="1:2" x14ac:dyDescent="0.25">
      <c r="A18" s="12" t="s">
        <v>14</v>
      </c>
      <c r="B18" s="12" t="s">
        <v>15</v>
      </c>
    </row>
    <row r="19" spans="1:2" x14ac:dyDescent="0.25">
      <c r="A19" s="13">
        <f>_xlfn.LET(n,B5, u,_xlfn.RANDARRAY(n), m,_xlfn.NORM.S.INV(u)*B8+B7, val,B6*m*(1-B9)/B10, nom,{"Valor medio";"Percentil 5";"Percentil 95";"Desvío estándar";"P(valor &lt; capital) — destruye valor"}, st,_xlfn.VSTACK(AVERAGE(val),PERCENTILE(val,0.05),PERCENTILE(val,0.95),STDEV(val),AVERAGE(IF(val&lt;B11,1,0))), _xlfn.HSTACK(nom,st))</f>
      </c>
      <c r="B19" s="14"/>
    </row>
    <row r="20" spans="1:2" x14ac:dyDescent="0.25">
      <c r="A20" s="13"/>
      <c r="B20" s="14"/>
    </row>
    <row r="21" spans="1:2" x14ac:dyDescent="0.25">
      <c r="A21" s="13"/>
      <c r="B21" s="14"/>
    </row>
    <row r="22" spans="1:2" x14ac:dyDescent="0.25">
      <c r="A22" s="13"/>
      <c r="B22" s="14"/>
    </row>
    <row r="23" spans="1:2" x14ac:dyDescent="0.25">
      <c r="A23" s="13"/>
      <c r="B23" s="14"/>
    </row>
    <row r="25" ht="22" customHeight="1" spans="1:4" x14ac:dyDescent="0.25">
      <c r="A25" s="3" t="s">
        <v>16</v>
      </c>
      <c r="B25" s="3"/>
      <c r="C25" s="3"/>
      <c r="D25" s="3"/>
    </row>
    <row r="26" ht="24" customHeight="1" spans="1:4" x14ac:dyDescent="0.25">
      <c r="A26" s="11" t="s">
        <v>17</v>
      </c>
      <c r="B26" s="11"/>
      <c r="C26" s="11"/>
      <c r="D26" s="11"/>
    </row>
    <row r="27" ht="20" customHeight="1" spans="1:4" x14ac:dyDescent="0.25">
      <c r="A27" s="12" t="s">
        <v>18</v>
      </c>
      <c r="B27" s="12" t="s">
        <v>19</v>
      </c>
      <c r="C27" s="12" t="s">
        <v>20</v>
      </c>
      <c r="D27" s="12" t="s">
        <v>15</v>
      </c>
    </row>
    <row r="28" spans="1:4" x14ac:dyDescent="0.25">
      <c r="A28" s="15">
        <f>_xlfn.LET(u,_xlfn.RANDARRAY(12), m,_xlfn.NORM.S.INV(u)*B8+B7, nop,B6*m*(1-B9), val,nop/B10, _xlfn.HSTACK(_xlfn.SEQUENCE(12),m,nop,val))</f>
      </c>
      <c r="B28" s="16"/>
      <c r="C28" s="14"/>
      <c r="D28" s="14"/>
    </row>
    <row r="29" spans="1:4" x14ac:dyDescent="0.25">
      <c r="A29" s="15"/>
      <c r="B29" s="16"/>
      <c r="C29" s="14"/>
      <c r="D29" s="14"/>
    </row>
    <row r="30" spans="1:4" x14ac:dyDescent="0.25">
      <c r="A30" s="15"/>
      <c r="B30" s="16"/>
      <c r="C30" s="14"/>
      <c r="D30" s="14"/>
    </row>
    <row r="31" spans="1:4" x14ac:dyDescent="0.25">
      <c r="A31" s="15"/>
      <c r="B31" s="16"/>
      <c r="C31" s="14"/>
      <c r="D31" s="14"/>
    </row>
    <row r="32" spans="1:4" x14ac:dyDescent="0.25">
      <c r="A32" s="15"/>
      <c r="B32" s="16"/>
      <c r="C32" s="14"/>
      <c r="D32" s="14"/>
    </row>
    <row r="33" spans="1:4" x14ac:dyDescent="0.25">
      <c r="A33" s="15"/>
      <c r="B33" s="16"/>
      <c r="C33" s="14"/>
      <c r="D33" s="14"/>
    </row>
    <row r="34" spans="1:4" x14ac:dyDescent="0.25">
      <c r="A34" s="15"/>
      <c r="B34" s="16"/>
      <c r="C34" s="14"/>
      <c r="D34" s="14"/>
    </row>
    <row r="35" spans="1:4" x14ac:dyDescent="0.25">
      <c r="A35" s="15"/>
      <c r="B35" s="16"/>
      <c r="C35" s="14"/>
      <c r="D35" s="14"/>
    </row>
    <row r="36" spans="1:4" x14ac:dyDescent="0.25">
      <c r="A36" s="15"/>
      <c r="B36" s="16"/>
      <c r="C36" s="14"/>
      <c r="D36" s="14"/>
    </row>
    <row r="37" spans="1:4" x14ac:dyDescent="0.25">
      <c r="A37" s="15"/>
      <c r="B37" s="16"/>
      <c r="C37" s="14"/>
      <c r="D37" s="14"/>
    </row>
    <row r="38" spans="1:4" x14ac:dyDescent="0.25">
      <c r="A38" s="15"/>
      <c r="B38" s="16"/>
      <c r="C38" s="14"/>
      <c r="D38" s="14"/>
    </row>
    <row r="39" spans="1:4" x14ac:dyDescent="0.25">
      <c r="A39" s="15"/>
      <c r="B39" s="16"/>
      <c r="C39" s="14"/>
      <c r="D39" s="14"/>
    </row>
    <row r="41" ht="22" customHeight="1" spans="1:4" x14ac:dyDescent="0.25">
      <c r="A41" s="3" t="s">
        <v>21</v>
      </c>
      <c r="B41" s="3"/>
      <c r="C41" s="3"/>
      <c r="D41" s="3"/>
    </row>
    <row r="42" ht="34" customHeight="1" spans="1:4" x14ac:dyDescent="0.25">
      <c r="A42" s="17" t="s">
        <v>22</v>
      </c>
      <c r="B42" s="18">
        <f>"El valor puntual ("&amp;TEXT(B14,"#,##0")&amp;") es un solo número; la simulación muestra un rango. La probabilidad de que el valor caiga por debajo del capital invertido ("&amp;TEXT(B11,"#,##0")&amp;") es material: en promedio crea valor, pero el riesgo de destruirlo es real."</f>
      </c>
      <c r="C42" s="18"/>
      <c r="D42" s="18"/>
    </row>
    <row r="43" ht="34" customHeight="1" spans="1:4" x14ac:dyDescent="0.25">
      <c r="A43" s="17" t="s">
        <v>23</v>
      </c>
      <c r="B43" s="18">
        <f>"Un plan basado en el promedio está, en promedio, equivocado (Savage). Presentá al directorio la distribución —media, P5, P95 y P(destruir valor)—, no un número único."</f>
      </c>
      <c r="C43" s="18"/>
      <c r="D43" s="18"/>
    </row>
    <row r="45" spans="1:4" x14ac:dyDescent="0.25">
      <c r="A45" s="19" t="s">
        <v>24</v>
      </c>
      <c r="B45" s="19"/>
      <c r="C45" s="19"/>
      <c r="D45" s="19"/>
    </row>
  </sheetData>
  <mergeCells count="12">
    <mergeCell ref="A1:D1"/>
    <mergeCell ref="A2:D2"/>
    <mergeCell ref="A4:D4"/>
    <mergeCell ref="A13:D13"/>
    <mergeCell ref="A16:D16"/>
    <mergeCell ref="A17:D17"/>
    <mergeCell ref="A25:D25"/>
    <mergeCell ref="A26:D26"/>
    <mergeCell ref="A41:D41"/>
    <mergeCell ref="B42:D42"/>
    <mergeCell ref="B43:D43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3.3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3.3 — Monte Carlo del valor de la firma (simulación vectorizada)</dc:title>
  <dc:subject/>
  <dc:description/>
  <cp:keywords/>
  <cp:category/>
  <cp:lastModifiedBy>Unknown</cp:lastModifiedBy>
  <dcterms:created xsi:type="dcterms:W3CDTF">2026-08-29T08:42:28Z</dcterms:created>
  <dcterms:modified xsi:type="dcterms:W3CDTF">2026-08-29T08:42:28Z</dcterms:modified>
</cp:coreProperties>
</file>