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4.1" state="visible" r:id="rId4"/>
  </sheets>
  <calcPr calcId="171027"/>
</workbook>
</file>

<file path=xl/sharedStrings.xml><?xml version="1.0" encoding="utf-8"?>
<sst xmlns="http://schemas.openxmlformats.org/spreadsheetml/2006/main" count="35" uniqueCount="35">
  <si>
    <t>JPR CONSULTING · ASIGNATURA 4.1 — Valuación DCF + valor terminal + descuentos de iliquidez</t>
  </si>
  <si>
    <t>Editá los FCFF y los parámetros (celdas marfil). La matriz dinámica descuenta el horizonte explícito; se añade el valor terminal, se pasa a patrimonio y se aplican los descuentos en cascada.</t>
  </si>
  <si>
    <t>1 · DATOS DE ENTRADA  (celdas marfil — editá acá)</t>
  </si>
  <si>
    <t>FCFF año 1</t>
  </si>
  <si>
    <t>miles $</t>
  </si>
  <si>
    <t>FCFF año 2</t>
  </si>
  <si>
    <t>FCFF año 3</t>
  </si>
  <si>
    <t>FCFF año 4</t>
  </si>
  <si>
    <t>FCFF año 5</t>
  </si>
  <si>
    <t>WACC</t>
  </si>
  <si>
    <t>Crecimiento perpetuo (g)</t>
  </si>
  <si>
    <t>Deuda neta</t>
  </si>
  <si>
    <t>Participación a valuar</t>
  </si>
  <si>
    <t>DLOC (falta de control)</t>
  </si>
  <si>
    <t>DLOM (falta de liquidez)</t>
  </si>
  <si>
    <t>2 · CÁLCULOS E INDICADORES</t>
  </si>
  <si>
    <t>Valor del horizonte (VP de los FCFF)</t>
  </si>
  <si>
    <t>Valor terminal (Gordon)</t>
  </si>
  <si>
    <t>VP del valor terminal</t>
  </si>
  <si>
    <t>Valor de la firma (EV)</t>
  </si>
  <si>
    <t>Peso del valor terminal en el EV</t>
  </si>
  <si>
    <t>Valor del patrimonio (100%)</t>
  </si>
  <si>
    <t>Valor de la participación (sin descuentos)</t>
  </si>
  <si>
    <t>Valor de la participación minoritaria e ilíquida</t>
  </si>
  <si>
    <t>Descuento total efectivo (cascada)</t>
  </si>
  <si>
    <t>3 · Descuento del horizonte explícito  (matriz dinámica · una fórmula derrama toda la tabla)</t>
  </si>
  <si>
    <t>SEQUENCE y VSTACK arman años y flujos; el factor y el VP se calculan de una vez. La suma de la última columna es el valor del horizonte.</t>
  </si>
  <si>
    <t>Año</t>
  </si>
  <si>
    <t>FCFF</t>
  </si>
  <si>
    <t>Factor de descuento</t>
  </si>
  <si>
    <t>Valor presente</t>
  </si>
  <si>
    <t>4 · CONCLUSIONES AUTOMÁTICAS</t>
  </si>
  <si>
    <t>Valor</t>
  </si>
  <si>
    <t>Participación</t>
  </si>
  <si>
    <t>JPR Consulting · Maestría en Finanzas Corporativas Aplicadas con IA · UNNE — Asignatura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</si>
</sst>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9" fontId="5" fillId="4" borderId="1" xfId="0" applyNumberFormat="1" applyFont="1" applyFill="1" applyBorder="1"/>
    <xf numFmtId="3" fontId="7" fillId="5" borderId="0" xfId="0" applyNumberFormat="1" applyFont="1" applyFill="1"/>
    <xf numFmtId="0" fontId="8" fillId="0" borderId="0" xfId="0" applyFont="1"/>
    <xf numFmtId="3" fontId="9" fillId="6" borderId="1" xfId="0" applyNumberFormat="1" applyFont="1" applyFill="1" applyBorder="1"/>
    <xf numFmtId="164" fontId="7" fillId="5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3" fontId="12" fillId="0" borderId="0" xfId="0" applyNumberFormat="1" applyFont="1"/>
    <xf numFmtId="3" fontId="13" fillId="0" borderId="0" xfId="0" applyNumberFormat="1" applyFont="1"/>
    <xf numFmtId="165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1850</v>
      </c>
      <c r="C5" s="6" t="s">
        <v>4</v>
      </c>
    </row>
    <row r="6" spans="1:2" x14ac:dyDescent="0.25">
      <c r="A6" s="4" t="s">
        <v>5</v>
      </c>
      <c r="B6" s="5">
        <v>1950</v>
      </c>
    </row>
    <row r="7" spans="1:2" x14ac:dyDescent="0.25">
      <c r="A7" s="4" t="s">
        <v>6</v>
      </c>
      <c r="B7" s="5">
        <v>2050</v>
      </c>
    </row>
    <row r="8" spans="1:2" x14ac:dyDescent="0.25">
      <c r="A8" s="4" t="s">
        <v>7</v>
      </c>
      <c r="B8" s="5">
        <v>2150</v>
      </c>
    </row>
    <row r="9" spans="1:2" x14ac:dyDescent="0.25">
      <c r="A9" s="4" t="s">
        <v>8</v>
      </c>
      <c r="B9" s="5">
        <v>2250</v>
      </c>
    </row>
    <row r="10" spans="1:2" x14ac:dyDescent="0.25">
      <c r="A10" s="4" t="s">
        <v>9</v>
      </c>
      <c r="B10" s="7">
        <v>0.195</v>
      </c>
    </row>
    <row r="11" spans="1:2" x14ac:dyDescent="0.25">
      <c r="A11" s="4" t="s">
        <v>10</v>
      </c>
      <c r="B11" s="7">
        <v>0.04</v>
      </c>
    </row>
    <row r="12" spans="1:2" x14ac:dyDescent="0.25">
      <c r="A12" s="4" t="s">
        <v>11</v>
      </c>
      <c r="B12" s="5">
        <v>5900</v>
      </c>
    </row>
    <row r="13" spans="1:2" x14ac:dyDescent="0.25">
      <c r="A13" s="4" t="s">
        <v>12</v>
      </c>
      <c r="B13" s="8">
        <v>0.3</v>
      </c>
    </row>
    <row r="14" spans="1:2" x14ac:dyDescent="0.25">
      <c r="A14" s="4" t="s">
        <v>13</v>
      </c>
      <c r="B14" s="8">
        <v>0.15</v>
      </c>
    </row>
    <row r="15" spans="1:2" x14ac:dyDescent="0.25">
      <c r="A15" s="4" t="s">
        <v>14</v>
      </c>
      <c r="B15" s="8">
        <v>0.25</v>
      </c>
    </row>
    <row r="17" ht="22" customHeight="1" spans="1:4" x14ac:dyDescent="0.25">
      <c r="A17" s="3" t="s">
        <v>15</v>
      </c>
      <c r="B17" s="3"/>
      <c r="C17" s="3"/>
      <c r="D17" s="3"/>
    </row>
    <row r="18" spans="1:2" x14ac:dyDescent="0.25">
      <c r="A18" s="4" t="s">
        <v>16</v>
      </c>
      <c r="B18" s="9">
        <f>_xlfn.LET(cf,_xlfn.VSTACK(B5,B6,B7,B8,B9), t,_xlfn.SEQUENCE(5), SUM(cf/(1+B10)^t))</f>
      </c>
    </row>
    <row r="19" spans="1:2" x14ac:dyDescent="0.25">
      <c r="A19" s="4" t="s">
        <v>17</v>
      </c>
      <c r="B19" s="9">
        <f>B9*(1+B11)/(B10-B11)</f>
      </c>
    </row>
    <row r="20" spans="1:2" x14ac:dyDescent="0.25">
      <c r="A20" s="4" t="s">
        <v>18</v>
      </c>
      <c r="B20" s="9">
        <f>B19/(1+B10)^5</f>
      </c>
    </row>
    <row r="21" spans="1:2" x14ac:dyDescent="0.25">
      <c r="A21" s="10" t="s">
        <v>19</v>
      </c>
      <c r="B21" s="11">
        <f>B18+B20</f>
      </c>
    </row>
    <row r="22" spans="1:2" x14ac:dyDescent="0.25">
      <c r="A22" s="4" t="s">
        <v>20</v>
      </c>
      <c r="B22" s="12">
        <f>B20/B21</f>
      </c>
    </row>
    <row r="23" spans="1:2" x14ac:dyDescent="0.25">
      <c r="A23" s="10" t="s">
        <v>21</v>
      </c>
      <c r="B23" s="11">
        <f>B21-B12</f>
      </c>
    </row>
    <row r="24" spans="1:2" x14ac:dyDescent="0.25">
      <c r="A24" s="4" t="s">
        <v>22</v>
      </c>
      <c r="B24" s="9">
        <f>B23*B13</f>
      </c>
    </row>
    <row r="25" spans="1:2" x14ac:dyDescent="0.25">
      <c r="A25" s="10" t="s">
        <v>23</v>
      </c>
      <c r="B25" s="11">
        <f>B23*B13*(1-B14)*(1-B15)</f>
      </c>
    </row>
    <row r="26" spans="1:2" x14ac:dyDescent="0.25">
      <c r="A26" s="4" t="s">
        <v>24</v>
      </c>
      <c r="B26" s="12">
        <f>1-(1-B14)*(1-B15)</f>
      </c>
    </row>
    <row r="28" ht="22" customHeight="1" spans="1:4" x14ac:dyDescent="0.25">
      <c r="A28" s="3" t="s">
        <v>25</v>
      </c>
      <c r="B28" s="3"/>
      <c r="C28" s="3"/>
      <c r="D28" s="3"/>
    </row>
    <row r="29" ht="24" customHeight="1" spans="1:4" x14ac:dyDescent="0.25">
      <c r="A29" s="13" t="s">
        <v>26</v>
      </c>
      <c r="B29" s="13"/>
      <c r="C29" s="13"/>
      <c r="D29" s="13"/>
    </row>
    <row r="30" ht="20" customHeight="1" spans="1:4" x14ac:dyDescent="0.25">
      <c r="A30" s="14" t="s">
        <v>27</v>
      </c>
      <c r="B30" s="14" t="s">
        <v>28</v>
      </c>
      <c r="C30" s="14" t="s">
        <v>29</v>
      </c>
      <c r="D30" s="14" t="s">
        <v>30</v>
      </c>
    </row>
    <row r="31" spans="1:4" x14ac:dyDescent="0.25">
      <c r="A31" s="15">
        <f>_xlfn.LET(t,_xlfn.SEQUENCE(5), cf,_xlfn.VSTACK(B5,B6,B7,B8,B9), fac,1/(1+B10)^t, _xlfn.HSTACK(t,cf,fac,cf*fac))</f>
      </c>
      <c r="B31" s="16"/>
      <c r="C31" s="17"/>
      <c r="D31" s="16"/>
    </row>
    <row r="32" spans="1:4" x14ac:dyDescent="0.25">
      <c r="A32" s="15"/>
      <c r="B32" s="16"/>
      <c r="C32" s="17"/>
      <c r="D32" s="16"/>
    </row>
    <row r="33" spans="1:4" x14ac:dyDescent="0.25">
      <c r="A33" s="15"/>
      <c r="B33" s="16"/>
      <c r="C33" s="17"/>
      <c r="D33" s="16"/>
    </row>
    <row r="34" spans="1:4" x14ac:dyDescent="0.25">
      <c r="A34" s="15"/>
      <c r="B34" s="16"/>
      <c r="C34" s="17"/>
      <c r="D34" s="16"/>
    </row>
    <row r="35" spans="1:4" x14ac:dyDescent="0.25">
      <c r="A35" s="15"/>
      <c r="B35" s="16"/>
      <c r="C35" s="17"/>
      <c r="D35" s="16"/>
    </row>
    <row r="37" ht="22" customHeight="1" spans="1:4" x14ac:dyDescent="0.25">
      <c r="A37" s="3" t="s">
        <v>31</v>
      </c>
      <c r="B37" s="3"/>
      <c r="C37" s="3"/>
      <c r="D37" s="3"/>
    </row>
    <row r="38" ht="34" customHeight="1" spans="1:4" x14ac:dyDescent="0.25">
      <c r="A38" s="18" t="s">
        <v>32</v>
      </c>
      <c r="B38" s="19">
        <f>"EV "&amp;TEXT(B21,"#,##0")&amp;" (de los cuales el "&amp;TEXT(B22,"0%")&amp;" es valor terminal). Patrimonio 100%: "&amp;TEXT(B23,"#,##0")&amp;"."</f>
      </c>
      <c r="C38" s="19"/>
      <c r="D38" s="19"/>
    </row>
    <row r="39" ht="34" customHeight="1" spans="1:4" x14ac:dyDescent="0.25">
      <c r="A39" s="18" t="s">
        <v>33</v>
      </c>
      <c r="B39" s="19">
        <f>"El "&amp;TEXT(B13,"0%")&amp;" vale "&amp;TEXT(B25,"#,##0")&amp;" tras un descuento efectivo del "&amp;TEXT(B26,"0.0%")&amp;" (DLOC y DLOM en cascada multiplicativa, no sumados)."</f>
      </c>
      <c r="C39" s="19"/>
      <c r="D39" s="19"/>
    </row>
    <row r="41" spans="1:4" x14ac:dyDescent="0.25">
      <c r="A41" s="20" t="s">
        <v>34</v>
      </c>
      <c r="B41" s="20"/>
      <c r="C41" s="20"/>
      <c r="D41" s="20"/>
    </row>
  </sheetData>
  <mergeCells count="10">
    <mergeCell ref="A1:D1"/>
    <mergeCell ref="A2:D2"/>
    <mergeCell ref="A4:D4"/>
    <mergeCell ref="A17:D17"/>
    <mergeCell ref="A28:D28"/>
    <mergeCell ref="A29:D29"/>
    <mergeCell ref="A37:D37"/>
    <mergeCell ref="B38:D38"/>
    <mergeCell ref="B39:D39"/>
    <mergeCell ref="A41:D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4.1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4.1 — Valuación DCF + valor terminal + descuentos de iliquidez</dc:title>
  <dc:subject/>
  <dc:description/>
  <cp:keywords/>
  <cp:category/>
  <cp:lastModifiedBy>Unknown</cp:lastModifiedBy>
  <dcterms:created xsi:type="dcterms:W3CDTF">2026-08-29T08:57:36Z</dcterms:created>
  <dcterms:modified xsi:type="dcterms:W3CDTF">2026-08-29T08:57:36Z</dcterms:modified>
</cp:coreProperties>
</file>