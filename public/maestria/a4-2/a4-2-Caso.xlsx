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4.2" state="visible" r:id="rId4"/>
  </sheets>
  <calcPr calcId="171027"/>
</workbook>
</file>

<file path=xl/sharedStrings.xml><?xml version="1.0" encoding="utf-8"?>
<sst xmlns="http://schemas.openxmlformats.org/spreadsheetml/2006/main" count="24" uniqueCount="23">
  <si>
    <t>JPR CONSULTING · ASIGNATURA 4.2 — Key Value Driver: cuándo crecer crea valor</t>
  </si>
  <si>
    <t>Editá NOPAT, WACC, RONIC y g (celdas marfil). El modelo calcula el valor con y sin crecimiento, y la matriz dinámica barre el RONIC para mostrar el cruce donde el crecimiento empieza a crear valor (RONIC = WACC).</t>
  </si>
  <si>
    <t>1 · DATOS DE ENTRADA  (celdas marfil — editá acá)</t>
  </si>
  <si>
    <t>NOPAT</t>
  </si>
  <si>
    <t>miles $</t>
  </si>
  <si>
    <t>WACC</t>
  </si>
  <si>
    <t>RONIC (capital nuevo)</t>
  </si>
  <si>
    <t>Crecimiento propuesto (g)</t>
  </si>
  <si>
    <t>2 · CÁLCULOS E INDICADORES</t>
  </si>
  <si>
    <t>Tasa de reinversión (g/RONIC)</t>
  </si>
  <si>
    <t>FCFF (NOPAT tras reinversión)</t>
  </si>
  <si>
    <t>Valor creciendo (KVD)</t>
  </si>
  <si>
    <t>Valor sin crecer (g=0)</t>
  </si>
  <si>
    <t>Valor del crecimiento</t>
  </si>
  <si>
    <t>3 · Valor según el RONIC (cruce en RONIC = WACC)  (matriz dinámica · una fórmula derrama toda la tabla)</t>
  </si>
  <si>
    <t>MAP recalcula el valor para cada RONIC. Donde RONIC = WACC, el valor del crecimiento es cero; por debajo es negativo (crecer destruye), por encima positivo.</t>
  </si>
  <si>
    <t>RONIC</t>
  </si>
  <si>
    <t>Valor creciendo</t>
  </si>
  <si>
    <t>Valor sin crecer</t>
  </si>
  <si>
    <t>4 · CONCLUSIONES AUTOMÁTICAS</t>
  </si>
  <si>
    <t>Veredicto</t>
  </si>
  <si>
    <t>Recomendación</t>
  </si>
  <si>
    <t>JPR Consulting · Maestría en Finanzas Corporativas Aplicadas con IA · UNNE — Asignatura 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</si>
</sst>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164" fontId="7" fillId="5" borderId="0" xfId="0" applyNumberFormat="1" applyFont="1" applyFill="1"/>
    <xf numFmtId="3" fontId="7" fillId="5" borderId="0" xfId="0" applyNumberFormat="1" applyFont="1" applyFill="1"/>
    <xf numFmtId="0" fontId="8" fillId="0" borderId="0" xfId="0" applyFont="1"/>
    <xf numFmtId="3" fontId="9" fillId="6" borderId="1" xfId="0" applyNumberFormat="1" applyFont="1" applyFill="1" applyBorder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164" fontId="12" fillId="0" borderId="0" xfId="0" applyNumberFormat="1" applyFont="1"/>
    <xf numFmtId="3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2502</v>
      </c>
      <c r="C5" s="6" t="s">
        <v>4</v>
      </c>
    </row>
    <row r="6" spans="1:2" x14ac:dyDescent="0.25">
      <c r="A6" s="4" t="s">
        <v>5</v>
      </c>
      <c r="B6" s="7">
        <v>0.195</v>
      </c>
    </row>
    <row r="7" spans="1:2" x14ac:dyDescent="0.25">
      <c r="A7" s="4" t="s">
        <v>6</v>
      </c>
      <c r="B7" s="7">
        <v>0.15</v>
      </c>
    </row>
    <row r="8" spans="1:2" x14ac:dyDescent="0.25">
      <c r="A8" s="4" t="s">
        <v>7</v>
      </c>
      <c r="B8" s="7">
        <v>0.04</v>
      </c>
    </row>
    <row r="10" ht="22" customHeight="1" spans="1:4" x14ac:dyDescent="0.25">
      <c r="A10" s="3" t="s">
        <v>8</v>
      </c>
      <c r="B10" s="3"/>
      <c r="C10" s="3"/>
      <c r="D10" s="3"/>
    </row>
    <row r="11" spans="1:2" x14ac:dyDescent="0.25">
      <c r="A11" s="4" t="s">
        <v>9</v>
      </c>
      <c r="B11" s="8">
        <f>B8/B7</f>
      </c>
    </row>
    <row r="12" spans="1:2" x14ac:dyDescent="0.25">
      <c r="A12" s="4" t="s">
        <v>10</v>
      </c>
      <c r="B12" s="9">
        <f>B5*(1-B8/B7)</f>
      </c>
    </row>
    <row r="13" spans="1:2" x14ac:dyDescent="0.25">
      <c r="A13" s="10" t="s">
        <v>11</v>
      </c>
      <c r="B13" s="11">
        <f>B5*(1-B8/B7)/(B6-B8)</f>
      </c>
    </row>
    <row r="14" spans="1:2" x14ac:dyDescent="0.25">
      <c r="A14" s="10" t="s">
        <v>12</v>
      </c>
      <c r="B14" s="11">
        <f>B5/B6</f>
      </c>
    </row>
    <row r="15" spans="1:2" x14ac:dyDescent="0.25">
      <c r="A15" s="10" t="s">
        <v>13</v>
      </c>
      <c r="B15" s="11">
        <f>B13-B14</f>
      </c>
    </row>
    <row r="17" ht="22" customHeight="1" spans="1:4" x14ac:dyDescent="0.25">
      <c r="A17" s="3" t="s">
        <v>14</v>
      </c>
      <c r="B17" s="3"/>
      <c r="C17" s="3"/>
      <c r="D17" s="3"/>
    </row>
    <row r="18" ht="24" customHeight="1" spans="1:4" x14ac:dyDescent="0.25">
      <c r="A18" s="12" t="s">
        <v>15</v>
      </c>
      <c r="B18" s="12"/>
      <c r="C18" s="12"/>
      <c r="D18" s="12"/>
    </row>
    <row r="19" ht="20" customHeight="1" spans="1:4" x14ac:dyDescent="0.25">
      <c r="A19" s="13" t="s">
        <v>16</v>
      </c>
      <c r="B19" s="13" t="s">
        <v>17</v>
      </c>
      <c r="C19" s="13" t="s">
        <v>18</v>
      </c>
      <c r="D19" s="13" t="s">
        <v>13</v>
      </c>
    </row>
    <row r="20" spans="1:4" x14ac:dyDescent="0.25">
      <c r="A20" s="14">
        <f>_xlfn.LET(rs,{0.10;0.125;0.15;0.175;0.195;0.22;0.25;0.30}, vc,_xlfn.MAP(rs,_xlfn.LAMBDA(r,B5*(1-B8/r)/(B6-B8))), vng,B5/B6, _xlfn.HSTACK(rs,vc,rs*0+vng,vc-(rs*0+vng)))</f>
      </c>
      <c r="B20" s="15"/>
      <c r="C20" s="15"/>
      <c r="D20" s="15"/>
    </row>
    <row r="21" spans="1:4" x14ac:dyDescent="0.25">
      <c r="A21" s="14"/>
      <c r="B21" s="15"/>
      <c r="C21" s="15"/>
      <c r="D21" s="15"/>
    </row>
    <row r="22" spans="1:4" x14ac:dyDescent="0.25">
      <c r="A22" s="14"/>
      <c r="B22" s="15"/>
      <c r="C22" s="15"/>
      <c r="D22" s="15"/>
    </row>
    <row r="23" spans="1:4" x14ac:dyDescent="0.25">
      <c r="A23" s="14"/>
      <c r="B23" s="15"/>
      <c r="C23" s="15"/>
      <c r="D23" s="15"/>
    </row>
    <row r="24" spans="1:4" x14ac:dyDescent="0.25">
      <c r="A24" s="14"/>
      <c r="B24" s="15"/>
      <c r="C24" s="15"/>
      <c r="D24" s="15"/>
    </row>
    <row r="25" spans="1:4" x14ac:dyDescent="0.25">
      <c r="A25" s="14"/>
      <c r="B25" s="15"/>
      <c r="C25" s="15"/>
      <c r="D25" s="15"/>
    </row>
    <row r="26" spans="1:4" x14ac:dyDescent="0.25">
      <c r="A26" s="14"/>
      <c r="B26" s="15"/>
      <c r="C26" s="15"/>
      <c r="D26" s="15"/>
    </row>
    <row r="27" spans="1:4" x14ac:dyDescent="0.25">
      <c r="A27" s="14"/>
      <c r="B27" s="15"/>
      <c r="C27" s="15"/>
      <c r="D27" s="15"/>
    </row>
    <row r="29" ht="22" customHeight="1" spans="1:4" x14ac:dyDescent="0.25">
      <c r="A29" s="3" t="s">
        <v>19</v>
      </c>
      <c r="B29" s="3"/>
      <c r="C29" s="3"/>
      <c r="D29" s="3"/>
    </row>
    <row r="30" ht="34" customHeight="1" spans="1:4" x14ac:dyDescent="0.25">
      <c r="A30" s="16" t="s">
        <v>20</v>
      </c>
      <c r="B30" s="17">
        <f>IF(B7&gt;B6,"RONIC ("&amp;TEXT(B7,"0.0%")&amp;") &gt; WACC ("&amp;TEXT(B6,"0.0%")&amp;"): crecer CREA valor ("&amp;TEXT(B15,"#,##0")&amp;").","RONIC ("&amp;TEXT(B7,"0.0%")&amp;") &lt; WACC ("&amp;TEXT(B6,"0.0%")&amp;"): crecer DESTRUYE valor ("&amp;TEXT(B15,"#,##0")&amp;"). La empresa vale más sin la ampliación.")</f>
      </c>
      <c r="C30" s="17"/>
      <c r="D30" s="17"/>
    </row>
    <row r="31" ht="34" customHeight="1" spans="1:4" x14ac:dyDescent="0.25">
      <c r="A31" s="16" t="s">
        <v>21</v>
      </c>
      <c r="B31" s="17">
        <f>IF(B7&lt;B6,"Con este RONIC, la mejor decisión de inversión es NO crecer y evaluar devolver capital a los dueños. El ROIC histórico alto no cambia esto: el proyecto nuevo rinde su RONIC, no el ROIC del pasado.","Crecer es la decisión correcta: cada peso reinvertido rinde por encima de su costo.")</f>
      </c>
      <c r="C31" s="17"/>
      <c r="D31" s="17"/>
    </row>
    <row r="33" spans="1:4" x14ac:dyDescent="0.25">
      <c r="A33" s="18" t="s">
        <v>22</v>
      </c>
      <c r="B33" s="18"/>
      <c r="C33" s="18"/>
      <c r="D33" s="18"/>
    </row>
  </sheetData>
  <mergeCells count="10">
    <mergeCell ref="A1:D1"/>
    <mergeCell ref="A2:D2"/>
    <mergeCell ref="A4:D4"/>
    <mergeCell ref="A10:D10"/>
    <mergeCell ref="A17:D17"/>
    <mergeCell ref="A18:D18"/>
    <mergeCell ref="A29:D29"/>
    <mergeCell ref="B30:D30"/>
    <mergeCell ref="B31:D31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4.2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4.2 — Key Value Driver: cuándo crecer crea valor</dc:title>
  <dc:subject/>
  <dc:description/>
  <cp:keywords/>
  <cp:category/>
  <cp:lastModifiedBy>Unknown</cp:lastModifiedBy>
  <dcterms:created xsi:type="dcterms:W3CDTF">2026-08-29T08:42:30Z</dcterms:created>
  <dcterms:modified xsi:type="dcterms:W3CDTF">2026-08-29T08:42:30Z</dcterms:modified>
</cp:coreProperties>
</file>