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g 4.3" state="visible" r:id="rId4"/>
  </sheets>
  <calcPr calcId="171027"/>
</workbook>
</file>

<file path=xl/sharedStrings.xml><?xml version="1.0" encoding="utf-8"?>
<sst xmlns="http://schemas.openxmlformats.org/spreadsheetml/2006/main" count="28" uniqueCount="28">
  <si>
    <t>JPR CONSULTING · ASIGNATURA 4.3 — Liquidez y repago: DSCR, DAF-E y estrés</t>
  </si>
  <si>
    <t>Editá las celdas marfil. El modelo calcula el DSCR contra el covenant y el DAF-E, lo compara con el CCE, y la matriz dinámica recalcula el DAF-E bajo escenarios de estrés.</t>
  </si>
  <si>
    <t>1 · DATOS DE ENTRADA  (celdas marfil — editá acá)</t>
  </si>
  <si>
    <t>EBITDA</t>
  </si>
  <si>
    <t>miles $</t>
  </si>
  <si>
    <t>Servicio de deuda (interés + capital)</t>
  </si>
  <si>
    <t>Caja</t>
  </si>
  <si>
    <t>Líneas de crédito comprometidas</t>
  </si>
  <si>
    <t>Cobranzas ciertas (próximas)</t>
  </si>
  <si>
    <t>Egresos diarios comprometidos (estrés)</t>
  </si>
  <si>
    <t>CCE (días, asignatura 2.4)</t>
  </si>
  <si>
    <t>DSCR mínimo del covenant</t>
  </si>
  <si>
    <t>2 · CÁLCULOS E INDICADORES</t>
  </si>
  <si>
    <t>DSCR (EBITDA / servicio)</t>
  </si>
  <si>
    <t>Headroom sobre el covenant</t>
  </si>
  <si>
    <t>Recursos líquidos totales</t>
  </si>
  <si>
    <t>DAF-E (días de autonomía)</t>
  </si>
  <si>
    <t>DAF-E − CCE</t>
  </si>
  <si>
    <t>3 · DAF-E bajo escenarios de estrés  (matriz dinámica · una fórmula derrama toda la tabla)</t>
  </si>
  <si>
    <t>Cada escenario recorta un recurso (cobranzas, líneas) y/o sube los egresos. Muestra qué tan rápido se agota la autonomía si el ingreso se interrumpe.</t>
  </si>
  <si>
    <t>Escenario</t>
  </si>
  <si>
    <t>Recursos líquidos</t>
  </si>
  <si>
    <t>Egresos diarios</t>
  </si>
  <si>
    <t>DAF-E (días)</t>
  </si>
  <si>
    <t>4 · CONCLUSIONES AUTOMÁTICAS</t>
  </si>
  <si>
    <t>Repago</t>
  </si>
  <si>
    <t>Liquidez</t>
  </si>
  <si>
    <t>JPR Consulting · Maestría en Finanzas Corporativas Aplicadas con IA · UNNE — Asignatura 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</si>
</sst>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 &quot;días&quot;"/>
    <numFmt numFmtId="165" formatCode="0.00&quot;x&quot;"/>
  </numFmts>
  <fonts count="16" x14ac:knownFonts="1">
    <font>
      <color theme="1"/>
      <family val="2"/>
      <scheme val="minor"/>
      <sz val="11"/>
      <name val="Calibri"/>
    </font>
    <font>
      <b/>
      <color rgb="FFF4F1EA"/>
      <sz val="13"/>
      <name val="IBM Plex Sans"/>
    </font>
    <font>
      <i/>
      <color rgb="FF5F646C"/>
      <sz val="9.5"/>
      <name val="IBM Plex Sans"/>
    </font>
    <font>
      <b/>
      <color rgb="FF8FD3B7"/>
      <sz val="10.5"/>
      <name val="IBM Plex Mono"/>
    </font>
    <font>
      <sz val="10.5"/>
      <name val="IBM Plex Sans"/>
    </font>
    <font>
      <b/>
      <color rgb="FF1A1D22"/>
      <sz val="10.5"/>
      <name val="IBM Plex Sans"/>
    </font>
    <font>
      <color rgb="FF5F646C"/>
      <sz val="9"/>
      <name val="IBM Plex Sans"/>
    </font>
    <font>
      <b/>
      <sz val="10.5"/>
      <name val="IBM Plex Sans"/>
    </font>
    <font>
      <b/>
      <color rgb="FF0E4E3B"/>
      <sz val="10.5"/>
      <name val="IBM Plex Sans"/>
    </font>
    <font>
      <b/>
      <color rgb="FF33373D"/>
      <sz val="10.5"/>
      <name val="IBM Plex Sans"/>
    </font>
    <font>
      <i/>
      <color rgb="FF8A8F97"/>
      <sz val="9"/>
      <name val="IBM Plex Sans"/>
    </font>
    <font>
      <b/>
      <color rgb="FFF4F1EA"/>
      <sz val="9.5"/>
      <name val="IBM Plex Sans"/>
    </font>
    <font>
      <color rgb="FF33373D"/>
      <sz val="9.5"/>
      <name val="IBM Plex Sans"/>
    </font>
    <font>
      <color rgb="FF33373D"/>
      <sz val="9.5"/>
      <name val="IBM Plex Mono"/>
    </font>
    <font>
      <color rgb="FF0E4E3B"/>
      <sz val="10.5"/>
      <name val="IBM Plex Sans"/>
    </font>
    <font>
      <color rgb="FF8A8F97"/>
      <sz val="8.5"/>
      <name val="IBM Plex Mono"/>
    </font>
  </fonts>
  <fills count="8">
    <fill>
      <patternFill patternType="none"/>
    </fill>
    <fill>
      <patternFill patternType="gray125"/>
    </fill>
    <fill>
      <patternFill patternType="solid">
        <fgColor rgb="FF0A0C0F"/>
      </patternFill>
    </fill>
    <fill>
      <patternFill patternType="solid">
        <fgColor rgb="FF12614A"/>
      </patternFill>
    </fill>
    <fill>
      <patternFill patternType="solid">
        <fgColor rgb="FFF4F1EA"/>
      </patternFill>
    </fill>
    <fill>
      <patternFill patternType="solid">
        <fgColor rgb="FFEFF7F2"/>
      </patternFill>
    </fill>
    <fill>
      <patternFill patternType="solid">
        <fgColor rgb="FFFBFAF7"/>
      </patternFill>
    </fill>
    <fill>
      <patternFill patternType="solid">
        <fgColor rgb="FF0E4E3B"/>
      </patternFill>
    </fill>
  </fills>
  <borders count="2">
    <border>
      <left/>
      <right/>
      <top/>
      <bottom/>
      <diagonal/>
    </border>
    <border>
      <left style="thin">
        <color rgb="FF1E8F6B"/>
      </left>
      <right style="thin">
        <color rgb="FF1E8F6B"/>
      </right>
      <top style="thin">
        <color rgb="FF1E8F6B"/>
      </top>
      <bottom style="thin">
        <color rgb="FF1E8F6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indent="1"/>
    </xf>
    <xf numFmtId="0" fontId="4" fillId="0" borderId="0" xfId="0" applyFont="1"/>
    <xf numFmtId="3" fontId="5" fillId="4" borderId="1" xfId="0" applyNumberFormat="1" applyFont="1" applyFill="1" applyBorder="1"/>
    <xf numFmtId="0" fontId="6" fillId="0" borderId="0" xfId="0" applyFont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0" fontId="7" fillId="0" borderId="0" xfId="0" applyFont="1"/>
    <xf numFmtId="165" fontId="8" fillId="5" borderId="1" xfId="0" applyNumberFormat="1" applyFont="1" applyFill="1" applyBorder="1"/>
    <xf numFmtId="165" fontId="9" fillId="6" borderId="0" xfId="0" applyNumberFormat="1" applyFont="1" applyFill="1"/>
    <xf numFmtId="3" fontId="9" fillId="6" borderId="0" xfId="0" applyNumberFormat="1" applyFont="1" applyFill="1"/>
    <xf numFmtId="164" fontId="8" fillId="5" borderId="1" xfId="0" applyNumberFormat="1" applyFont="1" applyFill="1" applyBorder="1"/>
    <xf numFmtId="0" fontId="10" fillId="0" borderId="0" xfId="0" applyFont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2" fillId="0" borderId="0" xfId="0" applyFont="1"/>
    <xf numFmtId="3" fontId="13" fillId="0" borderId="0" xfId="0" applyNumberFormat="1" applyFont="1"/>
    <xf numFmtId="164" fontId="13" fillId="0" borderId="0" xfId="0" applyNumberFormat="1" applyFont="1"/>
    <xf numFmtId="0" fontId="5" fillId="0" borderId="0" xfId="0" applyFont="1"/>
    <xf numFmtId="0" fontId="14" fillId="5" borderId="0" xfId="0" applyFont="1" applyFill="1" applyAlignment="1">
      <alignment vertical="center" wrapText="1" inden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 showGridLines="0"/>
  </sheetViews>
  <sheetFormatPr defaultRowHeight="16" outlineLevelRow="0" outlineLevelCol="0" x14ac:dyDescent="55" customHeight="1"/>
  <cols>
    <col min="1" max="1" width="46" customWidth="1"/>
    <col min="2" max="2" width="18" customWidth="1"/>
    <col min="3" max="3" width="14" customWidth="1"/>
    <col min="4" max="4" width="58" customWidth="1"/>
  </cols>
  <sheetData>
    <row r="1" ht="28" customHeight="1" spans="1:4" x14ac:dyDescent="0.25">
      <c r="A1" s="1" t="s">
        <v>0</v>
      </c>
      <c r="B1" s="1"/>
      <c r="C1" s="1"/>
      <c r="D1" s="1"/>
    </row>
    <row r="2" ht="26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/>
      <c r="C4" s="3"/>
      <c r="D4" s="3"/>
    </row>
    <row r="5" spans="1:3" x14ac:dyDescent="0.25">
      <c r="A5" s="4" t="s">
        <v>3</v>
      </c>
      <c r="B5" s="5">
        <v>5250</v>
      </c>
      <c r="C5" s="6" t="s">
        <v>4</v>
      </c>
    </row>
    <row r="6" spans="1:2" x14ac:dyDescent="0.25">
      <c r="A6" s="4" t="s">
        <v>5</v>
      </c>
      <c r="B6" s="5">
        <v>3150</v>
      </c>
    </row>
    <row r="7" spans="1:2" x14ac:dyDescent="0.25">
      <c r="A7" s="4" t="s">
        <v>6</v>
      </c>
      <c r="B7" s="5">
        <v>600</v>
      </c>
    </row>
    <row r="8" spans="1:2" x14ac:dyDescent="0.25">
      <c r="A8" s="4" t="s">
        <v>7</v>
      </c>
      <c r="B8" s="5">
        <v>800</v>
      </c>
    </row>
    <row r="9" spans="1:2" x14ac:dyDescent="0.25">
      <c r="A9" s="4" t="s">
        <v>8</v>
      </c>
      <c r="B9" s="5">
        <v>1500</v>
      </c>
    </row>
    <row r="10" spans="1:2" x14ac:dyDescent="0.25">
      <c r="A10" s="4" t="s">
        <v>9</v>
      </c>
      <c r="B10" s="5">
        <v>90</v>
      </c>
    </row>
    <row r="11" spans="1:2" x14ac:dyDescent="0.25">
      <c r="A11" s="4" t="s">
        <v>10</v>
      </c>
      <c r="B11" s="7">
        <v>52</v>
      </c>
    </row>
    <row r="12" spans="1:2" x14ac:dyDescent="0.25">
      <c r="A12" s="4" t="s">
        <v>11</v>
      </c>
      <c r="B12" s="8">
        <v>1.25</v>
      </c>
    </row>
    <row r="14" ht="22" customHeight="1" spans="1:4" x14ac:dyDescent="0.25">
      <c r="A14" s="3" t="s">
        <v>12</v>
      </c>
      <c r="B14" s="3"/>
      <c r="C14" s="3"/>
      <c r="D14" s="3"/>
    </row>
    <row r="15" spans="1:2" x14ac:dyDescent="0.25">
      <c r="A15" s="9" t="s">
        <v>13</v>
      </c>
      <c r="B15" s="10">
        <f>B5/B6</f>
      </c>
    </row>
    <row r="16" spans="1:2" x14ac:dyDescent="0.25">
      <c r="A16" s="4" t="s">
        <v>14</v>
      </c>
      <c r="B16" s="11">
        <f>B15-B12</f>
      </c>
    </row>
    <row r="17" spans="1:2" x14ac:dyDescent="0.25">
      <c r="A17" s="4" t="s">
        <v>15</v>
      </c>
      <c r="B17" s="12">
        <f>B7+B8+B9</f>
      </c>
    </row>
    <row r="18" spans="1:2" x14ac:dyDescent="0.25">
      <c r="A18" s="9" t="s">
        <v>16</v>
      </c>
      <c r="B18" s="13">
        <f>B17/B10</f>
      </c>
    </row>
    <row r="19" spans="1:2" x14ac:dyDescent="0.25">
      <c r="A19" s="9" t="s">
        <v>17</v>
      </c>
      <c r="B19" s="13">
        <f>B18-B11</f>
      </c>
    </row>
    <row r="21" ht="22" customHeight="1" spans="1:4" x14ac:dyDescent="0.25">
      <c r="A21" s="3" t="s">
        <v>18</v>
      </c>
      <c r="B21" s="3"/>
      <c r="C21" s="3"/>
      <c r="D21" s="3"/>
    </row>
    <row r="22" ht="24" customHeight="1" spans="1:4" x14ac:dyDescent="0.25">
      <c r="A22" s="14" t="s">
        <v>19</v>
      </c>
      <c r="B22" s="14"/>
      <c r="C22" s="14"/>
      <c r="D22" s="14"/>
    </row>
    <row r="23" ht="20" customHeight="1" spans="1:4" x14ac:dyDescent="0.25">
      <c r="A23" s="15" t="s">
        <v>20</v>
      </c>
      <c r="B23" s="15" t="s">
        <v>21</v>
      </c>
      <c r="C23" s="15" t="s">
        <v>22</v>
      </c>
      <c r="D23" s="15" t="s">
        <v>23</v>
      </c>
    </row>
    <row r="24" spans="1:4" x14ac:dyDescent="0.25">
      <c r="A24" s="16">
        <f>_xlfn.LET(esc,{"Base";"Cobranzas −30%";"Sin líneas de crédito";"Estrés combinado"}, rec,_xlfn.VSTACK(B7+B8+B9,B7+B8+B9*0.7,B7+B9,B7+B9*0.7), egr,B10*{1;1;1.1;1.2}, daf,rec/egr, _xlfn.HSTACK(esc,rec,egr,daf))</f>
      </c>
      <c r="B24" s="17"/>
      <c r="C24" s="17"/>
      <c r="D24" s="18"/>
    </row>
    <row r="25" spans="1:4" x14ac:dyDescent="0.25">
      <c r="A25" s="16"/>
      <c r="B25" s="17"/>
      <c r="C25" s="17"/>
      <c r="D25" s="18"/>
    </row>
    <row r="26" spans="1:4" x14ac:dyDescent="0.25">
      <c r="A26" s="16"/>
      <c r="B26" s="17"/>
      <c r="C26" s="17"/>
      <c r="D26" s="18"/>
    </row>
    <row r="27" spans="1:4" x14ac:dyDescent="0.25">
      <c r="A27" s="16"/>
      <c r="B27" s="17"/>
      <c r="C27" s="17"/>
      <c r="D27" s="18"/>
    </row>
    <row r="29" ht="22" customHeight="1" spans="1:4" x14ac:dyDescent="0.25">
      <c r="A29" s="3" t="s">
        <v>24</v>
      </c>
      <c r="B29" s="3"/>
      <c r="C29" s="3"/>
      <c r="D29" s="3"/>
    </row>
    <row r="30" ht="34" customHeight="1" spans="1:4" x14ac:dyDescent="0.25">
      <c r="A30" s="19" t="s">
        <v>25</v>
      </c>
      <c r="B30" s="20">
        <f>IF(B15&gt;=B12,"DSCR "&amp;TEXT(B15,"0.00")&amp;"x cumple el covenant ("&amp;TEXT(B12,"0.00")&amp;"x), headroom "&amp;TEXT(B16,"0.00")&amp;"x.","DSCR "&amp;TEXT(B15,"0.00")&amp;"x INCUMPLE el covenant ("&amp;TEXT(B12,"0.00")&amp;"x): riesgo de exigibilidad anticipada.")</f>
      </c>
      <c r="C30" s="20"/>
      <c r="D30" s="20"/>
    </row>
    <row r="31" ht="34" customHeight="1" spans="1:4" x14ac:dyDescent="0.25">
      <c r="A31" s="19" t="s">
        <v>26</v>
      </c>
      <c r="B31" s="20">
        <f>IF(B18&lt;B11,"ALERTA: DAF-E ("&amp;TEXT(B18,"0")&amp;" días) &lt; CCE ("&amp;TEXT(B11,"0")&amp;" días). La empresa se quedaría sin caja antes de completar una vuelta de su ciclo, pese al EVA positivo. Solvente no es líquido.","DAF-E ("&amp;TEXT(B18,"0")&amp;" días) supera al CCE ("&amp;TEXT(B11,"0")&amp;" días): autonomía suficiente para el ciclo.")</f>
      </c>
      <c r="C31" s="20"/>
      <c r="D31" s="20"/>
    </row>
    <row r="33" spans="1:4" x14ac:dyDescent="0.25">
      <c r="A33" s="21" t="s">
        <v>27</v>
      </c>
      <c r="B33" s="21"/>
      <c r="C33" s="21"/>
      <c r="D33" s="21"/>
    </row>
  </sheetData>
  <mergeCells count="10">
    <mergeCell ref="A1:D1"/>
    <mergeCell ref="A2:D2"/>
    <mergeCell ref="A4:D4"/>
    <mergeCell ref="A14:D14"/>
    <mergeCell ref="A21:D21"/>
    <mergeCell ref="A22:D22"/>
    <mergeCell ref="A29:D29"/>
    <mergeCell ref="B30:D30"/>
    <mergeCell ref="B31:D31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 4.3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JPR Consulting · Maestría FC+IA · UNNE</dc:creator>
  <dc:title>Asignatura 4.3 — Liquidez y repago: DSCR, DAF-E y estrés</dc:title>
  <dc:subject/>
  <dc:description/>
  <cp:keywords/>
  <cp:category/>
  <cp:lastModifiedBy>Unknown</cp:lastModifiedBy>
  <dcterms:created xsi:type="dcterms:W3CDTF">2026-08-29T08:46:21Z</dcterms:created>
  <dcterms:modified xsi:type="dcterms:W3CDTF">2026-08-29T08:46:21Z</dcterms:modified>
</cp:coreProperties>
</file>