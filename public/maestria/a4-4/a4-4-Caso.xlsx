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4.4" state="visible" r:id="rId4"/>
  </sheets>
  <calcPr calcId="171027"/>
</workbook>
</file>

<file path=xl/sharedStrings.xml><?xml version="1.0" encoding="utf-8"?>
<sst xmlns="http://schemas.openxmlformats.org/spreadsheetml/2006/main" count="27" uniqueCount="27">
  <si>
    <t>JPR CONSULTING · ASIGNATURA 4.4 — Política de dividendos, valor de la reinversión y TSR</t>
  </si>
  <si>
    <t>Editá las celdas marfil. El modelo calcula el FCFE y, dado que RONIC &lt; WACC, muestra cuánto valor destruye reinvertir frente a distribuir. La matriz dinámica compara políticas de payout.</t>
  </si>
  <si>
    <t>1 · DATOS DE ENTRADA  (celdas marfil — editá acá)</t>
  </si>
  <si>
    <t>FCFF</t>
  </si>
  <si>
    <t>miles $</t>
  </si>
  <si>
    <t>Intereses</t>
  </si>
  <si>
    <t>Tasa impositiva</t>
  </si>
  <si>
    <t>Nueva deuda neta</t>
  </si>
  <si>
    <t>Valor del patrimonio (equity)</t>
  </si>
  <si>
    <t>RONIC de las oportunidades</t>
  </si>
  <si>
    <t>WACC</t>
  </si>
  <si>
    <t>2 · CÁLCULOS E INDICADORES</t>
  </si>
  <si>
    <t>Intereses después de impuestos</t>
  </si>
  <si>
    <t>FCFE (disponible para los dueños)</t>
  </si>
  <si>
    <t>Valor creado por $ reinvertido (RONIC/WACC − 1)</t>
  </si>
  <si>
    <t>Valor creado si se reinvierte todo el FCFE</t>
  </si>
  <si>
    <t>Rendimiento por dividendos (payout 100%)</t>
  </si>
  <si>
    <t>3 · Comparación de políticas de distribución  (matriz dinámica · una fórmula derrama toda la tabla)</t>
  </si>
  <si>
    <t>A mayor payout, menor reinversión y menor destrucción de valor (porque RONIC &lt; WACC). El valor creado por reinversión es negativo: distribuir preserva valor.</t>
  </si>
  <si>
    <t>Política (payout)</t>
  </si>
  <si>
    <t>Dividendo</t>
  </si>
  <si>
    <t>Reinvertido</t>
  </si>
  <si>
    <t>Valor creado por reinversión</t>
  </si>
  <si>
    <t>4 · CONCLUSIONES AUTOMÁTICAS</t>
  </si>
  <si>
    <t>Política óptima</t>
  </si>
  <si>
    <t>Transferibilidad y objetivo</t>
  </si>
  <si>
    <t>JPR Consulting · Maestría en Finanzas Corporativas Aplicadas con IA · UNNE — Asignatura 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</si>
</sst>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3" fontId="7" fillId="5" borderId="0" xfId="0" applyNumberFormat="1" applyFont="1" applyFill="1"/>
    <xf numFmtId="0" fontId="8" fillId="0" borderId="0" xfId="0" applyFont="1"/>
    <xf numFmtId="3" fontId="9" fillId="6" borderId="1" xfId="0" applyNumberFormat="1" applyFont="1" applyFill="1" applyBorder="1"/>
    <xf numFmtId="164" fontId="9" fillId="6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9" fontId="12" fillId="0" borderId="0" xfId="0" applyNumberFormat="1" applyFont="1"/>
    <xf numFmtId="3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1834</v>
      </c>
      <c r="C5" s="6" t="s">
        <v>4</v>
      </c>
    </row>
    <row r="6" spans="1:2" x14ac:dyDescent="0.25">
      <c r="A6" s="4" t="s">
        <v>5</v>
      </c>
      <c r="B6" s="5">
        <v>1150</v>
      </c>
    </row>
    <row r="7" spans="1:2" x14ac:dyDescent="0.25">
      <c r="A7" s="4" t="s">
        <v>6</v>
      </c>
      <c r="B7" s="7">
        <v>0.35</v>
      </c>
    </row>
    <row r="8" spans="1:2" x14ac:dyDescent="0.25">
      <c r="A8" s="4" t="s">
        <v>7</v>
      </c>
      <c r="B8" s="5">
        <v>0</v>
      </c>
    </row>
    <row r="9" spans="1:2" x14ac:dyDescent="0.25">
      <c r="A9" s="4" t="s">
        <v>8</v>
      </c>
      <c r="B9" s="5">
        <v>6388</v>
      </c>
    </row>
    <row r="10" spans="1:2" x14ac:dyDescent="0.25">
      <c r="A10" s="4" t="s">
        <v>9</v>
      </c>
      <c r="B10" s="8">
        <v>0.15</v>
      </c>
    </row>
    <row r="11" spans="1:2" x14ac:dyDescent="0.25">
      <c r="A11" s="4" t="s">
        <v>10</v>
      </c>
      <c r="B11" s="8">
        <v>0.195</v>
      </c>
    </row>
    <row r="13" ht="22" customHeight="1" spans="1:4" x14ac:dyDescent="0.25">
      <c r="A13" s="3" t="s">
        <v>11</v>
      </c>
      <c r="B13" s="3"/>
      <c r="C13" s="3"/>
      <c r="D13" s="3"/>
    </row>
    <row r="14" spans="1:2" x14ac:dyDescent="0.25">
      <c r="A14" s="4" t="s">
        <v>12</v>
      </c>
      <c r="B14" s="9">
        <f>B6*(1-B7)</f>
      </c>
    </row>
    <row r="15" spans="1:2" x14ac:dyDescent="0.25">
      <c r="A15" s="10" t="s">
        <v>13</v>
      </c>
      <c r="B15" s="11">
        <f>B5-B14+B8</f>
      </c>
    </row>
    <row r="16" spans="1:2" x14ac:dyDescent="0.25">
      <c r="A16" s="10" t="s">
        <v>14</v>
      </c>
      <c r="B16" s="12">
        <f>B10/B11-1</f>
      </c>
    </row>
    <row r="17" spans="1:2" x14ac:dyDescent="0.25">
      <c r="A17" s="4" t="s">
        <v>15</v>
      </c>
      <c r="B17" s="9">
        <f>B15*(B10/B11-1)</f>
      </c>
    </row>
    <row r="18" spans="1:2" x14ac:dyDescent="0.25">
      <c r="A18" s="10" t="s">
        <v>16</v>
      </c>
      <c r="B18" s="12">
        <f>B15/B9</f>
      </c>
    </row>
    <row r="20" ht="22" customHeight="1" spans="1:4" x14ac:dyDescent="0.25">
      <c r="A20" s="3" t="s">
        <v>17</v>
      </c>
      <c r="B20" s="3"/>
      <c r="C20" s="3"/>
      <c r="D20" s="3"/>
    </row>
    <row r="21" ht="24" customHeight="1" spans="1:4" x14ac:dyDescent="0.25">
      <c r="A21" s="13" t="s">
        <v>18</v>
      </c>
      <c r="B21" s="13"/>
      <c r="C21" s="13"/>
      <c r="D21" s="13"/>
    </row>
    <row r="22" ht="20" customHeight="1" spans="1:4" x14ac:dyDescent="0.25">
      <c r="A22" s="14" t="s">
        <v>19</v>
      </c>
      <c r="B22" s="14" t="s">
        <v>20</v>
      </c>
      <c r="C22" s="14" t="s">
        <v>21</v>
      </c>
      <c r="D22" s="14" t="s">
        <v>22</v>
      </c>
    </row>
    <row r="23" spans="1:4" x14ac:dyDescent="0.25">
      <c r="A23" s="15">
        <f>_xlfn.LET(po,{0;0.25;0.5;0.75;1}, div,po*B15, reinv,(1-po)*B15, val,reinv*(B10/B11-1), _xlfn.HSTACK(po,div,reinv,val))</f>
      </c>
      <c r="B23" s="16"/>
      <c r="C23" s="16"/>
      <c r="D23" s="16"/>
    </row>
    <row r="24" spans="1:4" x14ac:dyDescent="0.25">
      <c r="A24" s="15"/>
      <c r="B24" s="16"/>
      <c r="C24" s="16"/>
      <c r="D24" s="16"/>
    </row>
    <row r="25" spans="1:4" x14ac:dyDescent="0.25">
      <c r="A25" s="15"/>
      <c r="B25" s="16"/>
      <c r="C25" s="16"/>
      <c r="D25" s="16"/>
    </row>
    <row r="26" spans="1:4" x14ac:dyDescent="0.25">
      <c r="A26" s="15"/>
      <c r="B26" s="16"/>
      <c r="C26" s="16"/>
      <c r="D26" s="16"/>
    </row>
    <row r="27" spans="1:4" x14ac:dyDescent="0.25">
      <c r="A27" s="15"/>
      <c r="B27" s="16"/>
      <c r="C27" s="16"/>
      <c r="D27" s="16"/>
    </row>
    <row r="29" ht="22" customHeight="1" spans="1:4" x14ac:dyDescent="0.25">
      <c r="A29" s="3" t="s">
        <v>23</v>
      </c>
      <c r="B29" s="3"/>
      <c r="C29" s="3"/>
      <c r="D29" s="3"/>
    </row>
    <row r="30" ht="34" customHeight="1" spans="1:4" x14ac:dyDescent="0.25">
      <c r="A30" s="17" t="s">
        <v>24</v>
      </c>
      <c r="B30" s="18">
        <f>IF(B10&lt;B11,"Con RONIC ("&amp;TEXT(B10,"0.0%")&amp;") &lt; WACC ("&amp;TEXT(B11,"0.0%")&amp;"), reinvertir DESTRUYE valor: cada peso reinvertido crea "&amp;TEXT(B16,"0.0%")&amp;". La política óptima es distribuir el FCFE ("&amp;TEXT(B15,"#,##0")&amp;"), con un rendimiento por dividendos del "&amp;TEXT(B18,"0.0%")&amp;".","Con RONIC &gt; WACC, reinvertir crea valor: retener es preferible a distribuir.")</f>
      </c>
      <c r="C30" s="18"/>
      <c r="D30" s="18"/>
    </row>
    <row r="31" ht="34" customHeight="1" spans="1:4" x14ac:dyDescent="0.25">
      <c r="A31" s="17" t="s">
        <v>25</v>
      </c>
      <c r="B31" s="18">
        <f>"Reducir el IDD (procesos, segunda línea) es condición para transferir la empresa sin destruir valor. Toda decisión se mide contra el objetivo taxativo: el valor para los dueños (TSR)."</f>
      </c>
      <c r="C31" s="18"/>
      <c r="D31" s="18"/>
    </row>
    <row r="33" spans="1:4" x14ac:dyDescent="0.25">
      <c r="A33" s="19" t="s">
        <v>26</v>
      </c>
      <c r="B33" s="19"/>
      <c r="C33" s="19"/>
      <c r="D33" s="19"/>
    </row>
  </sheetData>
  <mergeCells count="10">
    <mergeCell ref="A1:D1"/>
    <mergeCell ref="A2:D2"/>
    <mergeCell ref="A4:D4"/>
    <mergeCell ref="A13:D13"/>
    <mergeCell ref="A20:D20"/>
    <mergeCell ref="A21:D21"/>
    <mergeCell ref="A29:D29"/>
    <mergeCell ref="B30:D30"/>
    <mergeCell ref="B31:D3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4.4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4.4 — Política de dividendos, valor de la reinversión y TSR</dc:title>
  <dc:subject/>
  <dc:description/>
  <cp:keywords/>
  <cp:category/>
  <cp:lastModifiedBy>Unknown</cp:lastModifiedBy>
  <dcterms:created xsi:type="dcterms:W3CDTF">2026-08-29T08:46:22Z</dcterms:created>
  <dcterms:modified xsi:type="dcterms:W3CDTF">2026-08-29T08:46:22Z</dcterms:modified>
</cp:coreProperties>
</file>