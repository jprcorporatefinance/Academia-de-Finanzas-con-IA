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A.1" state="visible" r:id="rId4"/>
  </sheets>
  <calcPr calcId="171027"/>
</workbook>
</file>

<file path=xl/sharedStrings.xml><?xml version="1.0" encoding="utf-8"?>
<sst xmlns="http://schemas.openxmlformats.org/spreadsheetml/2006/main" count="31" uniqueCount="31">
  <si>
    <t>JPR CONSULTING · ASIGNATURA A.1 — Valuación de sinergias y reparto del valor en una adquisición</t>
  </si>
  <si>
    <t>Editá las celdas marfil. El modelo valúa cada sinergia castigada por probabilidad, calcula el reparto del valor entre comprador y vendedor, y la matriz dinámica muestra la sensibilidad del resultado del comprador al precio ofrecido.</t>
  </si>
  <si>
    <t>1 · DATOS DE ENTRADA  (celdas marfil — editá acá)</t>
  </si>
  <si>
    <t>Valor stand-alone del patrimonio</t>
  </si>
  <si>
    <t>miles $</t>
  </si>
  <si>
    <t>Oferta del comprador</t>
  </si>
  <si>
    <t>Sinergia de costos (anual)</t>
  </si>
  <si>
    <t>Probabilidad (costos)</t>
  </si>
  <si>
    <t>Sinergia de ingresos (anual)</t>
  </si>
  <si>
    <t>Probabilidad (ingresos)</t>
  </si>
  <si>
    <t>Costos de integración (una vez)</t>
  </si>
  <si>
    <t>WACC del comprador</t>
  </si>
  <si>
    <t>2 · CÁLCULOS E INDICADORES</t>
  </si>
  <si>
    <t>VP sinergia de costos (ajustada)</t>
  </si>
  <si>
    <t>VP sinergia de ingresos (ajustada)</t>
  </si>
  <si>
    <t>VP sinergia total (bruta)</t>
  </si>
  <si>
    <t>VP sinergia neta de integración</t>
  </si>
  <si>
    <t>Prima pagada sobre stand-alone</t>
  </si>
  <si>
    <t>Porción de la sinergia que capta el vendedor</t>
  </si>
  <si>
    <t>Valor neto para el comprador</t>
  </si>
  <si>
    <t>Precio máximo racional del comprador</t>
  </si>
  <si>
    <t>3 · Reparto del valor según el precio ofrecido  (matriz dinámica · una fórmula derrama toda la tabla)</t>
  </si>
  <si>
    <t>A medida que sube el precio, la prima (lo que gana el vendedor) crece y el beneficio del comprador se reduce. Donde el beneficio del comprador llega a cero está el precio máximo racional.</t>
  </si>
  <si>
    <t>Precio ofrecido</t>
  </si>
  <si>
    <t>Prima</t>
  </si>
  <si>
    <t>Gana el vendedor</t>
  </si>
  <si>
    <t>Gana el comprador</t>
  </si>
  <si>
    <t>4 · CONCLUSIONES AUTOMÁTICAS</t>
  </si>
  <si>
    <t>Reparto del valor</t>
  </si>
  <si>
    <t>Veredicto</t>
  </si>
  <si>
    <t>JPR Consulting · Maestría en Finanzas Corporativas Aplicadas con IA · UNNE — Asignatura A.1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</si>
</sst>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color rgb="FF33373D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FBFAF7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9" fontId="5" fillId="4" borderId="1" xfId="0" applyNumberFormat="1" applyFont="1" applyFill="1" applyBorder="1"/>
    <xf numFmtId="164" fontId="5" fillId="4" borderId="1" xfId="0" applyNumberFormat="1" applyFont="1" applyFill="1" applyBorder="1"/>
    <xf numFmtId="3" fontId="7" fillId="5" borderId="0" xfId="0" applyNumberFormat="1" applyFont="1" applyFill="1"/>
    <xf numFmtId="0" fontId="8" fillId="0" borderId="0" xfId="0" applyFont="1"/>
    <xf numFmtId="3" fontId="9" fillId="6" borderId="1" xfId="0" applyNumberFormat="1" applyFont="1" applyFill="1" applyBorder="1"/>
    <xf numFmtId="164" fontId="9" fillId="6" borderId="1" xfId="0" applyNumberFormat="1" applyFont="1" applyFill="1" applyBorder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3" fontId="12" fillId="0" borderId="0" xfId="0" applyNumberFormat="1" applyFont="1"/>
    <xf numFmtId="3" fontId="13" fillId="0" borderId="0" xfId="0" applyNumberFormat="1" applyFont="1"/>
    <xf numFmtId="0" fontId="5" fillId="0" borderId="0" xfId="0" applyFont="1"/>
    <xf numFmtId="0" fontId="14" fillId="6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6400</v>
      </c>
      <c r="C5" s="6" t="s">
        <v>4</v>
      </c>
    </row>
    <row r="6" spans="1:2" x14ac:dyDescent="0.25">
      <c r="A6" s="4" t="s">
        <v>5</v>
      </c>
      <c r="B6" s="5">
        <v>8000</v>
      </c>
    </row>
    <row r="7" spans="1:2" x14ac:dyDescent="0.25">
      <c r="A7" s="4" t="s">
        <v>6</v>
      </c>
      <c r="B7" s="5">
        <v>420</v>
      </c>
    </row>
    <row r="8" spans="1:2" x14ac:dyDescent="0.25">
      <c r="A8" s="4" t="s">
        <v>7</v>
      </c>
      <c r="B8" s="7">
        <v>0.8</v>
      </c>
    </row>
    <row r="9" spans="1:2" x14ac:dyDescent="0.25">
      <c r="A9" s="4" t="s">
        <v>8</v>
      </c>
      <c r="B9" s="5">
        <v>350</v>
      </c>
    </row>
    <row r="10" spans="1:2" x14ac:dyDescent="0.25">
      <c r="A10" s="4" t="s">
        <v>9</v>
      </c>
      <c r="B10" s="7">
        <v>0.35</v>
      </c>
    </row>
    <row r="11" spans="1:2" x14ac:dyDescent="0.25">
      <c r="A11" s="4" t="s">
        <v>10</v>
      </c>
      <c r="B11" s="5">
        <v>600</v>
      </c>
    </row>
    <row r="12" spans="1:2" x14ac:dyDescent="0.25">
      <c r="A12" s="4" t="s">
        <v>11</v>
      </c>
      <c r="B12" s="8">
        <v>0.18</v>
      </c>
    </row>
    <row r="14" ht="22" customHeight="1" spans="1:4" x14ac:dyDescent="0.25">
      <c r="A14" s="3" t="s">
        <v>12</v>
      </c>
      <c r="B14" s="3"/>
      <c r="C14" s="3"/>
      <c r="D14" s="3"/>
    </row>
    <row r="15" spans="1:2" x14ac:dyDescent="0.25">
      <c r="A15" s="4" t="s">
        <v>13</v>
      </c>
      <c r="B15" s="9">
        <f>B7*B8/B12</f>
      </c>
    </row>
    <row r="16" spans="1:2" x14ac:dyDescent="0.25">
      <c r="A16" s="4" t="s">
        <v>14</v>
      </c>
      <c r="B16" s="9">
        <f>B9*B10/B12</f>
      </c>
    </row>
    <row r="17" spans="1:2" x14ac:dyDescent="0.25">
      <c r="A17" s="4" t="s">
        <v>15</v>
      </c>
      <c r="B17" s="9">
        <f>B15+B16</f>
      </c>
    </row>
    <row r="18" spans="1:2" x14ac:dyDescent="0.25">
      <c r="A18" s="10" t="s">
        <v>16</v>
      </c>
      <c r="B18" s="11">
        <f>B17-B11</f>
      </c>
    </row>
    <row r="19" spans="1:2" x14ac:dyDescent="0.25">
      <c r="A19" s="10" t="s">
        <v>17</v>
      </c>
      <c r="B19" s="11">
        <f>B6-B5</f>
      </c>
    </row>
    <row r="20" spans="1:2" x14ac:dyDescent="0.25">
      <c r="A20" s="10" t="s">
        <v>18</v>
      </c>
      <c r="B20" s="12">
        <f>B19/B18</f>
      </c>
    </row>
    <row r="21" spans="1:2" x14ac:dyDescent="0.25">
      <c r="A21" s="10" t="s">
        <v>19</v>
      </c>
      <c r="B21" s="11">
        <f>B18-B19</f>
      </c>
    </row>
    <row r="22" spans="1:2" x14ac:dyDescent="0.25">
      <c r="A22" s="4" t="s">
        <v>20</v>
      </c>
      <c r="B22" s="9">
        <f>B5+B18</f>
      </c>
    </row>
    <row r="24" ht="22" customHeight="1" spans="1:4" x14ac:dyDescent="0.25">
      <c r="A24" s="3" t="s">
        <v>21</v>
      </c>
      <c r="B24" s="3"/>
      <c r="C24" s="3"/>
      <c r="D24" s="3"/>
    </row>
    <row r="25" ht="24" customHeight="1" spans="1:4" x14ac:dyDescent="0.25">
      <c r="A25" s="13" t="s">
        <v>22</v>
      </c>
      <c r="B25" s="13"/>
      <c r="C25" s="13"/>
      <c r="D25" s="13"/>
    </row>
    <row r="26" ht="20" customHeight="1" spans="1:4" x14ac:dyDescent="0.25">
      <c r="A26" s="14" t="s">
        <v>23</v>
      </c>
      <c r="B26" s="14" t="s">
        <v>24</v>
      </c>
      <c r="C26" s="14" t="s">
        <v>25</v>
      </c>
      <c r="D26" s="14" t="s">
        <v>26</v>
      </c>
    </row>
    <row r="27" spans="1:4" x14ac:dyDescent="0.25">
      <c r="A27" s="15">
        <f>_xlfn.LET(precios,_xlfn.SEQUENCE(8,1,6400,400), prima,precios-B5, compra,B18-prima, _xlfn.HSTACK(precios,prima,prima,compra))</f>
      </c>
      <c r="B27" s="16"/>
      <c r="C27" s="16"/>
      <c r="D27" s="16"/>
    </row>
    <row r="28" spans="1:4" x14ac:dyDescent="0.25">
      <c r="A28" s="15"/>
      <c r="B28" s="16"/>
      <c r="C28" s="16"/>
      <c r="D28" s="16"/>
    </row>
    <row r="29" spans="1:4" x14ac:dyDescent="0.25">
      <c r="A29" s="15"/>
      <c r="B29" s="16"/>
      <c r="C29" s="16"/>
      <c r="D29" s="16"/>
    </row>
    <row r="30" spans="1:4" x14ac:dyDescent="0.25">
      <c r="A30" s="15"/>
      <c r="B30" s="16"/>
      <c r="C30" s="16"/>
      <c r="D30" s="16"/>
    </row>
    <row r="31" spans="1:4" x14ac:dyDescent="0.25">
      <c r="A31" s="15"/>
      <c r="B31" s="16"/>
      <c r="C31" s="16"/>
      <c r="D31" s="16"/>
    </row>
    <row r="32" spans="1:4" x14ac:dyDescent="0.25">
      <c r="A32" s="15"/>
      <c r="B32" s="16"/>
      <c r="C32" s="16"/>
      <c r="D32" s="16"/>
    </row>
    <row r="33" spans="1:4" x14ac:dyDescent="0.25">
      <c r="A33" s="15"/>
      <c r="B33" s="16"/>
      <c r="C33" s="16"/>
      <c r="D33" s="16"/>
    </row>
    <row r="34" spans="1:4" x14ac:dyDescent="0.25">
      <c r="A34" s="15"/>
      <c r="B34" s="16"/>
      <c r="C34" s="16"/>
      <c r="D34" s="16"/>
    </row>
    <row r="36" ht="22" customHeight="1" spans="1:4" x14ac:dyDescent="0.25">
      <c r="A36" s="3" t="s">
        <v>27</v>
      </c>
      <c r="B36" s="3"/>
      <c r="C36" s="3"/>
      <c r="D36" s="3"/>
    </row>
    <row r="37" ht="34" customHeight="1" spans="1:4" x14ac:dyDescent="0.25">
      <c r="A37" s="17" t="s">
        <v>28</v>
      </c>
      <c r="B37" s="18">
        <f>"La sinergia neta vale "&amp;TEXT(B18,"#,##0")&amp;". Con una prima de "&amp;TEXT(B19,"#,##0")&amp;", el vendedor captura el "&amp;TEXT(B20,"0.0%")&amp;" de la sinergia y al comprador le quedan "&amp;TEXT(B21,"#,##0")&amp;"."</f>
      </c>
      <c r="C37" s="18"/>
      <c r="D37" s="18"/>
    </row>
    <row r="38" ht="34" customHeight="1" spans="1:4" x14ac:dyDescent="0.25">
      <c r="A38" s="17" t="s">
        <v>29</v>
      </c>
      <c r="B38" s="18">
        <f>IF(B21&gt;0,"La operación crea valor para AMBAS partes: el vendedor cobra prima y al comprador le queda "&amp;TEXT(B21,"#,##0")&amp;". Precio máximo racional: "&amp;TEXT(B22,"#,##0")&amp;".","El comprador estaría pagando MÁS que toda la sinergia: destruye valor para sus accionistas. Precio máximo racional: "&amp;TEXT(B22,"#,##0")&amp;".")</f>
      </c>
      <c r="C38" s="18"/>
      <c r="D38" s="18"/>
    </row>
    <row r="40" spans="1:4" x14ac:dyDescent="0.25">
      <c r="A40" s="19" t="s">
        <v>30</v>
      </c>
      <c r="B40" s="19"/>
      <c r="C40" s="19"/>
      <c r="D40" s="19"/>
    </row>
  </sheetData>
  <mergeCells count="10">
    <mergeCell ref="A1:D1"/>
    <mergeCell ref="A2:D2"/>
    <mergeCell ref="A4:D4"/>
    <mergeCell ref="A14:D14"/>
    <mergeCell ref="A24:D24"/>
    <mergeCell ref="A25:D25"/>
    <mergeCell ref="A36:D36"/>
    <mergeCell ref="B37:D37"/>
    <mergeCell ref="B38:D38"/>
    <mergeCell ref="A40:D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A.1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A.1 — Valuación de sinergias y reparto del valor en una adquisición</dc:title>
  <dc:subject/>
  <dc:description/>
  <cp:keywords/>
  <cp:category/>
  <cp:lastModifiedBy>Unknown</cp:lastModifiedBy>
  <dcterms:created xsi:type="dcterms:W3CDTF">2026-09-05T06:26:57Z</dcterms:created>
  <dcterms:modified xsi:type="dcterms:W3CDTF">2026-09-05T06:26:57Z</dcterms:modified>
</cp:coreProperties>
</file>