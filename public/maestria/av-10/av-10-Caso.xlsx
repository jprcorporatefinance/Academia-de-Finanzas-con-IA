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10" state="visible" r:id="rId4"/>
  </sheets>
  <calcPr calcId="171027"/>
</workbook>
</file>

<file path=xl/sharedStrings.xml><?xml version="1.0" encoding="utf-8"?>
<sst xmlns="http://schemas.openxmlformats.org/spreadsheetml/2006/main" count="49" uniqueCount="47">
  <si>
    <t>JPR CONSULTING · ASIGNATURA A.10 — Del diagnóstico al informe: cuantificación de las palancas comunicadas</t>
  </si>
  <si>
    <t>Editá las celdas marfil. El modelo produce las cifras exactas que van al informe: el puente de la utilidad contable al EVA, el valor de cada punto de mejora por palanca, y la sensibilidad del valor al costo de capital que alimenta el módulo 3 del tablero.</t>
  </si>
  <si>
    <t>1 · DATOS DE ENTRADA  (celdas marfil — editá acá)</t>
  </si>
  <si>
    <t>EBIT contable</t>
  </si>
  <si>
    <t>miles $</t>
  </si>
  <si>
    <t>Ajuste: sueldo del dueño a mercado</t>
  </si>
  <si>
    <t>Ajuste: gastos personales reclasificados</t>
  </si>
  <si>
    <t>Ajuste: alquiler a valor de mercado</t>
  </si>
  <si>
    <t>Tasa impositiva efectiva</t>
  </si>
  <si>
    <t>Capital invertido (bienes de uso a mercado)</t>
  </si>
  <si>
    <t>WACC</t>
  </si>
  <si>
    <t>Ventas del ejercicio</t>
  </si>
  <si>
    <t>Ciclo de conversión de efectivo</t>
  </si>
  <si>
    <t>Capital invertido a valor contable</t>
  </si>
  <si>
    <t>Con la planta amortizada: el denominador que produce el ROIC contable engañoso.</t>
  </si>
  <si>
    <t>2 · CÁLCULOS E INDICADORES</t>
  </si>
  <si>
    <t>EBIT normalizado</t>
  </si>
  <si>
    <t>NOPAT normalizado</t>
  </si>
  <si>
    <t>ROIC contable (el espejismo)</t>
  </si>
  <si>
    <t>ROIC normalizado</t>
  </si>
  <si>
    <t>Spread ROIC − WACC</t>
  </si>
  <si>
    <t>EVA</t>
  </si>
  <si>
    <t>Brecha entre el ROIC contable y el real</t>
  </si>
  <si>
    <t>La cifra que el informe tiene que explicar: 100 % producida por el denominador, no por la operación.</t>
  </si>
  <si>
    <t>EVA que libera cada día de ciclo</t>
  </si>
  <si>
    <t>EVA que aporta cada punto de margen operativo</t>
  </si>
  <si>
    <t>EVA que aporta cada punto menos de WACC</t>
  </si>
  <si>
    <t>3 · El puente que va al flujograma del informe: de la utilidad contable al EVA  (matriz dinámica · una fórmula derrama toda la tabla)</t>
  </si>
  <si>
    <t>Esta tabla ES el flujograma del informe: cada fila es un cuadro, cada importe una flecha, y la tercera columna la leyenda que hace entendible el paso a una persona no técnica.</t>
  </si>
  <si>
    <t>Paso</t>
  </si>
  <si>
    <t>Importe</t>
  </si>
  <si>
    <t>Qué se explica</t>
  </si>
  <si>
    <t>4 · Cuánto vale un punto de mejora en cada palanca  (matriz dinámica · una fórmula derrama toda la tabla)</t>
  </si>
  <si>
    <t>El cierre del informe sale de acá: las palancas ordenadas por lo que aporta cada unidad de mejora, en pesos. Convierte "hay que mejorar el capital de trabajo" en "cada día vale tanto".</t>
  </si>
  <si>
    <t>Palanca</t>
  </si>
  <si>
    <t>Unidad de mejora</t>
  </si>
  <si>
    <t>EVA que aporta</t>
  </si>
  <si>
    <t>Ranking</t>
  </si>
  <si>
    <t>5 · Sensibilidad del EVA al costo de capital (alimenta el módulo 3 del tablero)  (matriz dinámica · una fórmula derrama toda la tabla)</t>
  </si>
  <si>
    <t>El control deslizante del tablero recorre exactamente este rango. Muestra a la dirección algo que ningún informe estático transmite: qué tan cerca del punto de quiebre está la empresa.</t>
  </si>
  <si>
    <t>Spread</t>
  </si>
  <si>
    <t>Veredicto</t>
  </si>
  <si>
    <t>6 · CONCLUSIONES AUTOMÁTICAS</t>
  </si>
  <si>
    <t>La tesis del informe</t>
  </si>
  <si>
    <t>La palanca del cierre</t>
  </si>
  <si>
    <t>Nota de método para el pie</t>
  </si>
  <si>
    <t>JPR Consulting · Maestría en Finanzas Corporativas Aplicadas con IA · UNNE — Asignatura A.10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</si>
</sst>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 &quot;días&quot;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i/>
      <color rgb="FF8A8F97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33373D"/>
      <sz val="10.5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FBFAF7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9" fontId="5" fillId="4" borderId="1" xfId="0" applyNumberFormat="1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0" fontId="7" fillId="0" borderId="0" xfId="0" applyFont="1"/>
    <xf numFmtId="0" fontId="8" fillId="0" borderId="0" xfId="0" applyFont="1"/>
    <xf numFmtId="3" fontId="9" fillId="5" borderId="1" xfId="0" applyNumberFormat="1" applyFont="1" applyFill="1" applyBorder="1"/>
    <xf numFmtId="164" fontId="10" fillId="6" borderId="0" xfId="0" applyNumberFormat="1" applyFont="1" applyFill="1"/>
    <xf numFmtId="164" fontId="9" fillId="5" borderId="1" xfId="0" applyNumberFormat="1" applyFont="1" applyFill="1" applyBorder="1"/>
    <xf numFmtId="4" fontId="9" fillId="5" borderId="1" xfId="0" applyNumberFormat="1" applyFont="1" applyFill="1" applyBorder="1"/>
    <xf numFmtId="4" fontId="10" fillId="6" borderId="0" xfId="0" applyNumberFormat="1" applyFont="1" applyFill="1"/>
    <xf numFmtId="0" fontId="7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3" fontId="13" fillId="0" borderId="0" xfId="0" applyNumberFormat="1" applyFont="1"/>
    <xf numFmtId="0" fontId="13" fillId="0" borderId="0" xfId="0" applyFont="1"/>
    <xf numFmtId="4" fontId="13" fillId="0" borderId="0" xfId="0" applyNumberFormat="1" applyFont="1"/>
    <xf numFmtId="164" fontId="12" fillId="0" borderId="0" xfId="0" applyNumberFormat="1" applyFont="1"/>
    <xf numFmtId="164" fontId="13" fillId="0" borderId="0" xfId="0" applyNumberFormat="1" applyFont="1"/>
    <xf numFmtId="0" fontId="5" fillId="0" borderId="0" xfId="0" applyFont="1"/>
    <xf numFmtId="0" fontId="14" fillId="5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4200</v>
      </c>
      <c r="C5" s="6" t="s">
        <v>4</v>
      </c>
    </row>
    <row r="6" spans="1:2" x14ac:dyDescent="0.25">
      <c r="A6" s="4" t="s">
        <v>5</v>
      </c>
      <c r="B6" s="5">
        <v>-220</v>
      </c>
    </row>
    <row r="7" spans="1:2" x14ac:dyDescent="0.25">
      <c r="A7" s="4" t="s">
        <v>6</v>
      </c>
      <c r="B7" s="5">
        <v>-95</v>
      </c>
    </row>
    <row r="8" spans="1:2" x14ac:dyDescent="0.25">
      <c r="A8" s="4" t="s">
        <v>7</v>
      </c>
      <c r="B8" s="5">
        <v>-35</v>
      </c>
    </row>
    <row r="9" spans="1:2" x14ac:dyDescent="0.25">
      <c r="A9" s="4" t="s">
        <v>8</v>
      </c>
      <c r="B9" s="7">
        <v>0.35</v>
      </c>
    </row>
    <row r="10" spans="1:2" x14ac:dyDescent="0.25">
      <c r="A10" s="4" t="s">
        <v>9</v>
      </c>
      <c r="B10" s="5">
        <v>11770</v>
      </c>
    </row>
    <row r="11" spans="1:2" x14ac:dyDescent="0.25">
      <c r="A11" s="4" t="s">
        <v>10</v>
      </c>
      <c r="B11" s="8">
        <v>0.2</v>
      </c>
    </row>
    <row r="12" spans="1:2" x14ac:dyDescent="0.25">
      <c r="A12" s="4" t="s">
        <v>11</v>
      </c>
      <c r="B12" s="5">
        <v>42000</v>
      </c>
    </row>
    <row r="13" spans="1:2" x14ac:dyDescent="0.25">
      <c r="A13" s="4" t="s">
        <v>12</v>
      </c>
      <c r="B13" s="9">
        <v>43</v>
      </c>
    </row>
    <row r="14" spans="1:4" x14ac:dyDescent="0.25">
      <c r="A14" s="4" t="s">
        <v>13</v>
      </c>
      <c r="B14" s="5">
        <v>7230</v>
      </c>
      <c r="D14" s="10" t="s">
        <v>14</v>
      </c>
    </row>
    <row r="16" ht="22" customHeight="1" spans="1:4" x14ac:dyDescent="0.25">
      <c r="A16" s="3" t="s">
        <v>15</v>
      </c>
      <c r="B16" s="3"/>
      <c r="C16" s="3"/>
      <c r="D16" s="3"/>
    </row>
    <row r="17" spans="1:2" x14ac:dyDescent="0.25">
      <c r="A17" s="11" t="s">
        <v>16</v>
      </c>
      <c r="B17" s="12">
        <f>B5+B6+B7+B8</f>
      </c>
    </row>
    <row r="18" spans="1:2" x14ac:dyDescent="0.25">
      <c r="A18" s="11" t="s">
        <v>17</v>
      </c>
      <c r="B18" s="12">
        <f>B17*(1-B9)</f>
      </c>
    </row>
    <row r="19" spans="1:2" x14ac:dyDescent="0.25">
      <c r="A19" s="4" t="s">
        <v>18</v>
      </c>
      <c r="B19" s="13">
        <f>B5*(1-B9)/B14</f>
      </c>
    </row>
    <row r="20" spans="1:2" x14ac:dyDescent="0.25">
      <c r="A20" s="11" t="s">
        <v>19</v>
      </c>
      <c r="B20" s="14">
        <f>B18/B10</f>
      </c>
    </row>
    <row r="21" spans="1:2" x14ac:dyDescent="0.25">
      <c r="A21" s="11" t="s">
        <v>20</v>
      </c>
      <c r="B21" s="14">
        <f>B20-B11</f>
      </c>
    </row>
    <row r="22" spans="1:2" x14ac:dyDescent="0.25">
      <c r="A22" s="11" t="s">
        <v>21</v>
      </c>
      <c r="B22" s="12">
        <f>B10*B21</f>
      </c>
    </row>
    <row r="23" spans="1:4" x14ac:dyDescent="0.25">
      <c r="A23" s="4" t="s">
        <v>22</v>
      </c>
      <c r="B23" s="13">
        <f>B19-B20</f>
      </c>
      <c r="D23" s="10" t="s">
        <v>23</v>
      </c>
    </row>
    <row r="24" spans="1:2" x14ac:dyDescent="0.25">
      <c r="A24" s="11" t="s">
        <v>24</v>
      </c>
      <c r="B24" s="15">
        <f>B12/365*B11</f>
      </c>
    </row>
    <row r="25" spans="1:2" x14ac:dyDescent="0.25">
      <c r="A25" s="4" t="s">
        <v>25</v>
      </c>
      <c r="B25" s="16">
        <f>B12*0.01*(1-B9)</f>
      </c>
    </row>
    <row r="26" spans="1:2" x14ac:dyDescent="0.25">
      <c r="A26" s="4" t="s">
        <v>26</v>
      </c>
      <c r="B26" s="16">
        <f>B10*0.01</f>
      </c>
    </row>
    <row r="28" ht="22" customHeight="1" spans="1:4" x14ac:dyDescent="0.25">
      <c r="A28" s="3" t="s">
        <v>27</v>
      </c>
      <c r="B28" s="3"/>
      <c r="C28" s="3"/>
      <c r="D28" s="3"/>
    </row>
    <row r="29" ht="24" customHeight="1" spans="1:4" x14ac:dyDescent="0.25">
      <c r="A29" s="17" t="s">
        <v>28</v>
      </c>
      <c r="B29" s="17"/>
      <c r="C29" s="17"/>
      <c r="D29" s="17"/>
    </row>
    <row r="30" ht="20" customHeight="1" spans="1:3" x14ac:dyDescent="0.25">
      <c r="A30" s="18" t="s">
        <v>29</v>
      </c>
      <c r="B30" s="18" t="s">
        <v>30</v>
      </c>
      <c r="C30" s="18" t="s">
        <v>31</v>
      </c>
    </row>
    <row r="31" spans="1:3" x14ac:dyDescent="0.25">
      <c r="A31" s="19">
        <f>_xlfn.LET(nom,{"EBIT contable";"− Sueldo del dueño a mercado";"− Gastos personales";"− Alquiler a mercado";"= EBIT normalizado";"− Impuesto";"= NOPAT";"− Cargo por el capital";"= EVA"}, imp,_xlfn.VSTACK(B5,B6,B7,B8,B17,-B17*B9,B18,-B10*B11,B22), txt,{"Lo que muestran los libros";"El dueño se paga distinto del mercado";"La empresa paga consumo de la familia";"El inmueble de la familia no se cobra";"El resultado real de la operación";"Lo que se lleva el fisco";"La utilidad operativa que queda";"Lo que exige el capital puesto a trabajar";"Lo que sobra despues de pagarle a todos"}, _xlfn.HSTACK(nom,imp,txt))</f>
      </c>
      <c r="B31" s="20"/>
      <c r="C31" s="21"/>
    </row>
    <row r="32" spans="1:3" x14ac:dyDescent="0.25">
      <c r="A32" s="19"/>
      <c r="B32" s="20"/>
      <c r="C32" s="21"/>
    </row>
    <row r="33" spans="1:3" x14ac:dyDescent="0.25">
      <c r="A33" s="19"/>
      <c r="B33" s="20"/>
      <c r="C33" s="21"/>
    </row>
    <row r="34" spans="1:3" x14ac:dyDescent="0.25">
      <c r="A34" s="19"/>
      <c r="B34" s="20"/>
      <c r="C34" s="21"/>
    </row>
    <row r="35" spans="1:3" x14ac:dyDescent="0.25">
      <c r="A35" s="19"/>
      <c r="B35" s="20"/>
      <c r="C35" s="21"/>
    </row>
    <row r="36" spans="1:3" x14ac:dyDescent="0.25">
      <c r="A36" s="19"/>
      <c r="B36" s="20"/>
      <c r="C36" s="21"/>
    </row>
    <row r="37" spans="1:3" x14ac:dyDescent="0.25">
      <c r="A37" s="19"/>
      <c r="B37" s="20"/>
      <c r="C37" s="21"/>
    </row>
    <row r="38" spans="1:3" x14ac:dyDescent="0.25">
      <c r="A38" s="19"/>
      <c r="B38" s="20"/>
      <c r="C38" s="21"/>
    </row>
    <row r="39" spans="1:3" x14ac:dyDescent="0.25">
      <c r="A39" s="19"/>
      <c r="B39" s="20"/>
      <c r="C39" s="21"/>
    </row>
    <row r="41" ht="22" customHeight="1" spans="1:4" x14ac:dyDescent="0.25">
      <c r="A41" s="3" t="s">
        <v>32</v>
      </c>
      <c r="B41" s="3"/>
      <c r="C41" s="3"/>
      <c r="D41" s="3"/>
    </row>
    <row r="42" ht="24" customHeight="1" spans="1:4" x14ac:dyDescent="0.25">
      <c r="A42" s="17" t="s">
        <v>33</v>
      </c>
      <c r="B42" s="17"/>
      <c r="C42" s="17"/>
      <c r="D42" s="17"/>
    </row>
    <row r="43" ht="20" customHeight="1" spans="1:4" x14ac:dyDescent="0.25">
      <c r="A43" s="18" t="s">
        <v>34</v>
      </c>
      <c r="B43" s="18" t="s">
        <v>35</v>
      </c>
      <c r="C43" s="18" t="s">
        <v>36</v>
      </c>
      <c r="D43" s="18" t="s">
        <v>37</v>
      </c>
    </row>
    <row r="44" spans="1:4" x14ac:dyDescent="0.25">
      <c r="A44" s="19">
        <f>_xlfn.LET(nom,{"Ciclo de conversión de efectivo";"Margen operativo";"Costo de capital"}, uni,{"1 día menos";"1 punto más";"1 punto menos"}, val,_xlfn.VSTACK(B24,B25,B26), rk,RANK(val,val,0), _xlfn._xlws.SORTBY(_xlfn.HSTACK(nom,uni,val,rk),val,-1))</f>
      </c>
      <c r="B44" s="21"/>
      <c r="C44" s="22"/>
      <c r="D44" s="20"/>
    </row>
    <row r="45" spans="1:4" x14ac:dyDescent="0.25">
      <c r="A45" s="19"/>
      <c r="B45" s="21"/>
      <c r="C45" s="22"/>
      <c r="D45" s="20"/>
    </row>
    <row r="46" spans="1:4" x14ac:dyDescent="0.25">
      <c r="A46" s="19"/>
      <c r="B46" s="21"/>
      <c r="C46" s="22"/>
      <c r="D46" s="20"/>
    </row>
    <row r="48" ht="22" customHeight="1" spans="1:4" x14ac:dyDescent="0.25">
      <c r="A48" s="3" t="s">
        <v>38</v>
      </c>
      <c r="B48" s="3"/>
      <c r="C48" s="3"/>
      <c r="D48" s="3"/>
    </row>
    <row r="49" ht="24" customHeight="1" spans="1:4" x14ac:dyDescent="0.25">
      <c r="A49" s="17" t="s">
        <v>39</v>
      </c>
      <c r="B49" s="17"/>
      <c r="C49" s="17"/>
      <c r="D49" s="17"/>
    </row>
    <row r="50" ht="20" customHeight="1" spans="1:4" x14ac:dyDescent="0.25">
      <c r="A50" s="18" t="s">
        <v>10</v>
      </c>
      <c r="B50" s="18" t="s">
        <v>40</v>
      </c>
      <c r="C50" s="18" t="s">
        <v>21</v>
      </c>
      <c r="D50" s="18" t="s">
        <v>41</v>
      </c>
    </row>
    <row r="51" spans="1:4" x14ac:dyDescent="0.25">
      <c r="A51" s="23">
        <f>_xlfn.LET(w,_xlfn.SEQUENCE(9,1,0.16,0.01), sp,B20-w, ev,B10*sp, ver,IF(sp&gt;0,"Crea valor","Destruye valor"), _xlfn.HSTACK(w,sp,ev,ver))</f>
      </c>
      <c r="B51" s="24"/>
      <c r="C51" s="20"/>
      <c r="D51" s="21"/>
    </row>
    <row r="52" spans="1:4" x14ac:dyDescent="0.25">
      <c r="A52" s="23"/>
      <c r="B52" s="24"/>
      <c r="C52" s="20"/>
      <c r="D52" s="21"/>
    </row>
    <row r="53" spans="1:4" x14ac:dyDescent="0.25">
      <c r="A53" s="23"/>
      <c r="B53" s="24"/>
      <c r="C53" s="20"/>
      <c r="D53" s="21"/>
    </row>
    <row r="54" spans="1:4" x14ac:dyDescent="0.25">
      <c r="A54" s="23"/>
      <c r="B54" s="24"/>
      <c r="C54" s="20"/>
      <c r="D54" s="21"/>
    </row>
    <row r="55" spans="1:4" x14ac:dyDescent="0.25">
      <c r="A55" s="23"/>
      <c r="B55" s="24"/>
      <c r="C55" s="20"/>
      <c r="D55" s="21"/>
    </row>
    <row r="56" spans="1:4" x14ac:dyDescent="0.25">
      <c r="A56" s="23"/>
      <c r="B56" s="24"/>
      <c r="C56" s="20"/>
      <c r="D56" s="21"/>
    </row>
    <row r="57" spans="1:4" x14ac:dyDescent="0.25">
      <c r="A57" s="23"/>
      <c r="B57" s="24"/>
      <c r="C57" s="20"/>
      <c r="D57" s="21"/>
    </row>
    <row r="58" spans="1:4" x14ac:dyDescent="0.25">
      <c r="A58" s="23"/>
      <c r="B58" s="24"/>
      <c r="C58" s="20"/>
      <c r="D58" s="21"/>
    </row>
    <row r="59" spans="1:4" x14ac:dyDescent="0.25">
      <c r="A59" s="23"/>
      <c r="B59" s="24"/>
      <c r="C59" s="20"/>
      <c r="D59" s="21"/>
    </row>
    <row r="61" ht="22" customHeight="1" spans="1:4" x14ac:dyDescent="0.25">
      <c r="A61" s="3" t="s">
        <v>42</v>
      </c>
      <c r="B61" s="3"/>
      <c r="C61" s="3"/>
      <c r="D61" s="3"/>
    </row>
    <row r="62" ht="34" customHeight="1" spans="1:4" x14ac:dyDescent="0.25">
      <c r="A62" s="25" t="s">
        <v>43</v>
      </c>
      <c r="B62" s="26">
        <f>"Maderas del Litoral muestra un ROIC contable de "&amp;TEXT(B19,"0.0%")&amp;" que en realidad es de "&amp;TEXT(B20,"0.0%")&amp;": una brecha de "&amp;TEXT(B23,"0.0%")&amp;" producida íntegramente por el denominador —la planta amortizada— y no por la operación. Contra un costo de capital de "&amp;TEXT(B11,"0.0%")&amp;", la empresa crea "&amp;TEXT(B22,"#,##0")&amp;" miles $ de valor por año: es rentable, pero está al borde de no serlo."</f>
      </c>
      <c r="C62" s="26"/>
      <c r="D62" s="26"/>
    </row>
    <row r="63" ht="34" customHeight="1" spans="1:4" x14ac:dyDescent="0.25">
      <c r="A63" s="25" t="s">
        <v>44</v>
      </c>
      <c r="B63" s="26">
        <f>"Cada día de ciclo de conversión de efectivo vale "&amp;TEXT(B24,"#,##0.00")&amp;" miles $ de EVA por año. Bajar el ciclo de "&amp;TEXT(B13,"0")&amp;" a 35 días aporta "&amp;TEXT((B13-35)*B24,"#,##0")&amp;" miles $ — más que el EVA total del ejercicio, y sin vender un peso más ni invertir un peso."</f>
      </c>
      <c r="C63" s="26"/>
      <c r="D63" s="26"/>
    </row>
    <row r="64" ht="34" customHeight="1" spans="1:4" x14ac:dyDescent="0.25">
      <c r="A64" s="25" t="s">
        <v>45</v>
      </c>
      <c r="B64" s="26">
        <f>"Fuente: sistema de gestión, período completo del ejercicio, moneda homogénea de cierre. Ajustes de normalización declarados uno por uno en la sección 3. Los bienes de uso se valúan a mercado; el ROIC contable se muestra únicamente para explicar la brecha, no como indicador de gestión."</f>
      </c>
      <c r="C64" s="26"/>
      <c r="D64" s="26"/>
    </row>
    <row r="66" spans="1:4" x14ac:dyDescent="0.25">
      <c r="A66" s="27" t="s">
        <v>46</v>
      </c>
      <c r="B66" s="27"/>
      <c r="C66" s="27"/>
      <c r="D66" s="27"/>
    </row>
  </sheetData>
  <mergeCells count="15">
    <mergeCell ref="A1:D1"/>
    <mergeCell ref="A2:D2"/>
    <mergeCell ref="A4:D4"/>
    <mergeCell ref="A16:D16"/>
    <mergeCell ref="A28:D28"/>
    <mergeCell ref="A29:D29"/>
    <mergeCell ref="A41:D41"/>
    <mergeCell ref="A42:D42"/>
    <mergeCell ref="A48:D48"/>
    <mergeCell ref="A49:D49"/>
    <mergeCell ref="A61:D61"/>
    <mergeCell ref="B62:D62"/>
    <mergeCell ref="B63:D63"/>
    <mergeCell ref="B64:D64"/>
    <mergeCell ref="A66:D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A.10 — Del diagnóstico al informe: cuantificación de las palancas comunicadas</dc:title>
  <dc:subject/>
  <dc:description/>
  <cp:keywords/>
  <cp:category/>
  <cp:lastModifiedBy>Unknown</cp:lastModifiedBy>
  <dcterms:created xsi:type="dcterms:W3CDTF">2026-09-05T06:27:01Z</dcterms:created>
  <dcterms:modified xsi:type="dcterms:W3CDTF">2026-09-05T06:27:01Z</dcterms:modified>
</cp:coreProperties>
</file>