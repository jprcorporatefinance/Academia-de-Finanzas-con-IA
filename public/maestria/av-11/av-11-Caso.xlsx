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11" state="visible" r:id="rId4"/>
  </sheets>
  <calcPr calcId="171027"/>
</workbook>
</file>

<file path=xl/sharedStrings.xml><?xml version="1.0" encoding="utf-8"?>
<sst xmlns="http://schemas.openxmlformats.org/spreadsheetml/2006/main" count="47" uniqueCount="47">
  <si>
    <t>JPR CONSULTING · ASIGNATURA A.11 — Recomposición: las dos lecturas del negocio y sus consecuencias</t>
  </si>
  <si>
    <t>Editá las celdas marfil. El modelo produce las dos lecturas del resultado, mide la persistencia del signo en la serie mensual y despliega el efecto de cada lectura sobre ROIC, EVA y valor con matrices dinámicas.</t>
  </si>
  <si>
    <t>1 · DATOS DE ENTRADA  (celdas marfil — editá acá)</t>
  </si>
  <si>
    <t>Ventas del ejercicio</t>
  </si>
  <si>
    <t>miles $</t>
  </si>
  <si>
    <t>Costo de ventas contable</t>
  </si>
  <si>
    <t>Costo de ventas recompuesto (kardex)</t>
  </si>
  <si>
    <t>Gastos operativos</t>
  </si>
  <si>
    <t>Cuenta puente en el resultado</t>
  </si>
  <si>
    <t>Tasa impositiva efectiva</t>
  </si>
  <si>
    <t>Capital invertido</t>
  </si>
  <si>
    <t>WACC</t>
  </si>
  <si>
    <t>Meses con el mismo signo (facturado − despachado)</t>
  </si>
  <si>
    <t>Meses con egresos negativos en la serie</t>
  </si>
  <si>
    <t>2 · CÁLCULOS E INDICADORES</t>
  </si>
  <si>
    <t>Brecha del costo de ventas</t>
  </si>
  <si>
    <t>Brecha sobre ventas</t>
  </si>
  <si>
    <t>EBIT — lectura A (costo contable)</t>
  </si>
  <si>
    <t>EBIT — lectura B (costo recompuesto)</t>
  </si>
  <si>
    <t>NOPAT lectura A</t>
  </si>
  <si>
    <t>NOPAT lectura B</t>
  </si>
  <si>
    <t>ROIC lectura A</t>
  </si>
  <si>
    <t>ROIC lectura B</t>
  </si>
  <si>
    <t>EVA lectura A</t>
  </si>
  <si>
    <t>EVA lectura B</t>
  </si>
  <si>
    <t>Persistencia del signo</t>
  </si>
  <si>
    <t>Por encima del 80 % deja de ser ruido de corte de período.</t>
  </si>
  <si>
    <t>Cuenta puente sobre ventas</t>
  </si>
  <si>
    <t>Meses inválidos sobre el total</t>
  </si>
  <si>
    <t>3 · Las dos lecturas del negocio, línea por línea  (matriz dinámica · una fórmula derrama toda la tabla)</t>
  </si>
  <si>
    <t>Las dos columnas son el corazón del informe: no se elige una, se presentan las dos y se nombra el dato que las separaría. Nótese que el ROIC y el EVA aparecen en escala de importe por construcción de la tabla; su lectura correcta está en los cálculos de arriba.</t>
  </si>
  <si>
    <t>Concepto</t>
  </si>
  <si>
    <t>Lectura A (contable)</t>
  </si>
  <si>
    <t>Lectura B (recompuesta)</t>
  </si>
  <si>
    <t>Diferencia</t>
  </si>
  <si>
    <t>4 · Semáforo de admisibilidad de la información  (matriz dinámica · una fórmula derrama toda la tabla)</t>
  </si>
  <si>
    <t>Cada prueba con su umbral declarado. El semáforo no concluye por sí solo: dispara la prueba discriminante correspondiente, que es lo que efectivamente resuelve la ambigüedad.</t>
  </si>
  <si>
    <t>Prueba</t>
  </si>
  <si>
    <t>Medición</t>
  </si>
  <si>
    <t>Umbral</t>
  </si>
  <si>
    <t>Estado</t>
  </si>
  <si>
    <t>5 · CONCLUSIONES AUTOMÁTICAS</t>
  </si>
  <si>
    <t>Las dos lecturas</t>
  </si>
  <si>
    <t>Prueba discriminante prioritaria</t>
  </si>
  <si>
    <t>Facturado contra despachado</t>
  </si>
  <si>
    <t>Aptitud para la fase predictiva</t>
  </si>
  <si>
    <t>JPR Consulting · Maestría en Finanzas Corporativas Aplicadas con IA · UNNE — Asignatura A.11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</si>
</sst>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164" fontId="5" fillId="4" borderId="1" xfId="0" applyNumberFormat="1" applyFont="1" applyFill="1" applyBorder="1"/>
    <xf numFmtId="0" fontId="7" fillId="0" borderId="0" xfId="0" applyFont="1"/>
    <xf numFmtId="3" fontId="8" fillId="5" borderId="1" xfId="0" applyNumberFormat="1" applyFont="1" applyFill="1" applyBorder="1"/>
    <xf numFmtId="164" fontId="8" fillId="5" borderId="1" xfId="0" applyNumberFormat="1" applyFont="1" applyFill="1" applyBorder="1"/>
    <xf numFmtId="3" fontId="9" fillId="6" borderId="0" xfId="0" applyNumberFormat="1" applyFont="1" applyFill="1"/>
    <xf numFmtId="164" fontId="9" fillId="6" borderId="0" xfId="0" applyNumberFormat="1" applyFont="1" applyFill="1"/>
    <xf numFmtId="9" fontId="8" fillId="5" borderId="1" xfId="0" applyNumberFormat="1" applyFont="1" applyFill="1" applyBorder="1"/>
    <xf numFmtId="0" fontId="10" fillId="0" borderId="0" xfId="0" applyFont="1"/>
    <xf numFmtId="9" fontId="9" fillId="6" borderId="0" xfId="0" applyNumberFormat="1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4" fontId="13" fillId="0" borderId="0" xfId="0" applyNumberFormat="1" applyFont="1"/>
    <xf numFmtId="164" fontId="13" fillId="0" borderId="0" xfId="0" applyNumberFormat="1" applyFont="1"/>
    <xf numFmtId="0" fontId="13" fillId="0" borderId="0" xfId="0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42000</v>
      </c>
      <c r="C5" s="6" t="s">
        <v>4</v>
      </c>
    </row>
    <row r="6" spans="1:2" x14ac:dyDescent="0.25">
      <c r="A6" s="4" t="s">
        <v>5</v>
      </c>
      <c r="B6" s="5">
        <v>27000</v>
      </c>
    </row>
    <row r="7" spans="1:2" x14ac:dyDescent="0.25">
      <c r="A7" s="4" t="s">
        <v>6</v>
      </c>
      <c r="B7" s="5">
        <v>24850</v>
      </c>
    </row>
    <row r="8" spans="1:2" x14ac:dyDescent="0.25">
      <c r="A8" s="4" t="s">
        <v>7</v>
      </c>
      <c r="B8" s="5">
        <v>10800</v>
      </c>
    </row>
    <row r="9" spans="1:2" x14ac:dyDescent="0.25">
      <c r="A9" s="4" t="s">
        <v>8</v>
      </c>
      <c r="B9" s="5">
        <v>2856</v>
      </c>
    </row>
    <row r="10" spans="1:2" x14ac:dyDescent="0.25">
      <c r="A10" s="4" t="s">
        <v>9</v>
      </c>
      <c r="B10" s="7">
        <v>0.35</v>
      </c>
    </row>
    <row r="11" spans="1:2" x14ac:dyDescent="0.25">
      <c r="A11" s="4" t="s">
        <v>10</v>
      </c>
      <c r="B11" s="5">
        <v>11770</v>
      </c>
    </row>
    <row r="12" spans="1:2" x14ac:dyDescent="0.25">
      <c r="A12" s="4" t="s">
        <v>11</v>
      </c>
      <c r="B12" s="8">
        <v>0.2</v>
      </c>
    </row>
    <row r="13" spans="1:2" x14ac:dyDescent="0.25">
      <c r="A13" s="4" t="s">
        <v>12</v>
      </c>
      <c r="B13" s="5">
        <v>10</v>
      </c>
    </row>
    <row r="14" spans="1:2" x14ac:dyDescent="0.25">
      <c r="A14" s="4" t="s">
        <v>13</v>
      </c>
      <c r="B14" s="5">
        <v>3</v>
      </c>
    </row>
    <row r="16" ht="22" customHeight="1" spans="1:4" x14ac:dyDescent="0.25">
      <c r="A16" s="3" t="s">
        <v>14</v>
      </c>
      <c r="B16" s="3"/>
      <c r="C16" s="3"/>
      <c r="D16" s="3"/>
    </row>
    <row r="17" spans="1:2" x14ac:dyDescent="0.25">
      <c r="A17" s="9" t="s">
        <v>15</v>
      </c>
      <c r="B17" s="10">
        <f>B6-B7</f>
      </c>
    </row>
    <row r="18" spans="1:2" x14ac:dyDescent="0.25">
      <c r="A18" s="9" t="s">
        <v>16</v>
      </c>
      <c r="B18" s="11">
        <f>B17/B5</f>
      </c>
    </row>
    <row r="19" spans="1:2" x14ac:dyDescent="0.25">
      <c r="A19" s="9" t="s">
        <v>17</v>
      </c>
      <c r="B19" s="10">
        <f>B5-B6-B8</f>
      </c>
    </row>
    <row r="20" spans="1:2" x14ac:dyDescent="0.25">
      <c r="A20" s="9" t="s">
        <v>18</v>
      </c>
      <c r="B20" s="10">
        <f>B5-B7-B8</f>
      </c>
    </row>
    <row r="21" spans="1:2" x14ac:dyDescent="0.25">
      <c r="A21" s="4" t="s">
        <v>19</v>
      </c>
      <c r="B21" s="12">
        <f>B19*(1-B10)</f>
      </c>
    </row>
    <row r="22" spans="1:2" x14ac:dyDescent="0.25">
      <c r="A22" s="4" t="s">
        <v>20</v>
      </c>
      <c r="B22" s="12">
        <f>B20*(1-B10)</f>
      </c>
    </row>
    <row r="23" spans="1:2" x14ac:dyDescent="0.25">
      <c r="A23" s="4" t="s">
        <v>21</v>
      </c>
      <c r="B23" s="13">
        <f>B21/B11</f>
      </c>
    </row>
    <row r="24" spans="1:2" x14ac:dyDescent="0.25">
      <c r="A24" s="4" t="s">
        <v>22</v>
      </c>
      <c r="B24" s="13">
        <f>B22/B11</f>
      </c>
    </row>
    <row r="25" spans="1:2" x14ac:dyDescent="0.25">
      <c r="A25" s="9" t="s">
        <v>23</v>
      </c>
      <c r="B25" s="10">
        <f>B11*(B23-B12)</f>
      </c>
    </row>
    <row r="26" spans="1:2" x14ac:dyDescent="0.25">
      <c r="A26" s="9" t="s">
        <v>24</v>
      </c>
      <c r="B26" s="10">
        <f>B11*(B24-B12)</f>
      </c>
    </row>
    <row r="27" spans="1:4" x14ac:dyDescent="0.25">
      <c r="A27" s="9" t="s">
        <v>25</v>
      </c>
      <c r="B27" s="14">
        <f>B13/12</f>
      </c>
      <c r="D27" s="15" t="s">
        <v>26</v>
      </c>
    </row>
    <row r="28" spans="1:2" x14ac:dyDescent="0.25">
      <c r="A28" s="9" t="s">
        <v>27</v>
      </c>
      <c r="B28" s="11">
        <f>B9/B5</f>
      </c>
    </row>
    <row r="29" spans="1:2" x14ac:dyDescent="0.25">
      <c r="A29" s="4" t="s">
        <v>28</v>
      </c>
      <c r="B29" s="16">
        <f>B14/12</f>
      </c>
    </row>
    <row r="31" ht="22" customHeight="1" spans="1:4" x14ac:dyDescent="0.25">
      <c r="A31" s="3" t="s">
        <v>29</v>
      </c>
      <c r="B31" s="3"/>
      <c r="C31" s="3"/>
      <c r="D31" s="3"/>
    </row>
    <row r="32" ht="24" customHeight="1" spans="1:4" x14ac:dyDescent="0.25">
      <c r="A32" s="17" t="s">
        <v>30</v>
      </c>
      <c r="B32" s="17"/>
      <c r="C32" s="17"/>
      <c r="D32" s="17"/>
    </row>
    <row r="33" ht="20" customHeight="1" spans="1:4" x14ac:dyDescent="0.25">
      <c r="A33" s="18" t="s">
        <v>31</v>
      </c>
      <c r="B33" s="18" t="s">
        <v>32</v>
      </c>
      <c r="C33" s="18" t="s">
        <v>33</v>
      </c>
      <c r="D33" s="18" t="s">
        <v>34</v>
      </c>
    </row>
    <row r="34" spans="1:4" x14ac:dyDescent="0.25">
      <c r="A34" s="19">
        <f>_xlfn.LET(nom,{"Ventas";"Costo de ventas";"Margen bruto";"Gastos operativos";"EBIT";"NOPAT";"ROIC";"EVA"}, a,_xlfn.VSTACK(B5,B6,B5-B6,B8,B19,B21,B23,B25), b,_xlfn.VSTACK(B5,B7,B5-B7,B8,B20,B22,B24,B26), _xlfn.HSTACK(nom,a,b,b-a))</f>
      </c>
      <c r="B34" s="20"/>
      <c r="C34" s="20"/>
      <c r="D34" s="20"/>
    </row>
    <row r="35" spans="1:4" x14ac:dyDescent="0.25">
      <c r="A35" s="19"/>
      <c r="B35" s="20"/>
      <c r="C35" s="20"/>
      <c r="D35" s="20"/>
    </row>
    <row r="36" spans="1:4" x14ac:dyDescent="0.25">
      <c r="A36" s="19"/>
      <c r="B36" s="20"/>
      <c r="C36" s="20"/>
      <c r="D36" s="20"/>
    </row>
    <row r="37" spans="1:4" x14ac:dyDescent="0.25">
      <c r="A37" s="19"/>
      <c r="B37" s="20"/>
      <c r="C37" s="20"/>
      <c r="D37" s="20"/>
    </row>
    <row r="38" spans="1:4" x14ac:dyDescent="0.25">
      <c r="A38" s="19"/>
      <c r="B38" s="20"/>
      <c r="C38" s="20"/>
      <c r="D38" s="20"/>
    </row>
    <row r="39" spans="1:4" x14ac:dyDescent="0.25">
      <c r="A39" s="19"/>
      <c r="B39" s="20"/>
      <c r="C39" s="20"/>
      <c r="D39" s="20"/>
    </row>
    <row r="40" spans="1:4" x14ac:dyDescent="0.25">
      <c r="A40" s="19"/>
      <c r="B40" s="20"/>
      <c r="C40" s="20"/>
      <c r="D40" s="20"/>
    </row>
    <row r="41" spans="1:4" x14ac:dyDescent="0.25">
      <c r="A41" s="19"/>
      <c r="B41" s="20"/>
      <c r="C41" s="20"/>
      <c r="D41" s="20"/>
    </row>
    <row r="43" ht="22" customHeight="1" spans="1:4" x14ac:dyDescent="0.25">
      <c r="A43" s="3" t="s">
        <v>35</v>
      </c>
      <c r="B43" s="3"/>
      <c r="C43" s="3"/>
      <c r="D43" s="3"/>
    </row>
    <row r="44" ht="24" customHeight="1" spans="1:4" x14ac:dyDescent="0.25">
      <c r="A44" s="17" t="s">
        <v>36</v>
      </c>
      <c r="B44" s="17"/>
      <c r="C44" s="17"/>
      <c r="D44" s="17"/>
    </row>
    <row r="45" ht="20" customHeight="1" spans="1:4" x14ac:dyDescent="0.25">
      <c r="A45" s="18" t="s">
        <v>37</v>
      </c>
      <c r="B45" s="18" t="s">
        <v>38</v>
      </c>
      <c r="C45" s="18" t="s">
        <v>39</v>
      </c>
      <c r="D45" s="18" t="s">
        <v>40</v>
      </c>
    </row>
    <row r="46" spans="1:4" x14ac:dyDescent="0.25">
      <c r="A46" s="19">
        <f>_xlfn.LET(nom,{"Brecha del costo sobre ventas";"Persistencia del signo";"Cuenta puente sobre ventas";"Meses inválidos en la serie"}, med,_xlfn.VSTACK(B18,B27,B28,B29), umb,_xlfn.VSTACK(0.03,0.8,0.1,0.15), est,IF(nom="Persistencia del signo",IF(med&gt;=umb,"PATRÓN — exige explicación","Ruido de corte"),IF(med&gt;umb,"ALERTA","Dentro de tolerancia")), _xlfn.HSTACK(nom,med,umb,est))</f>
      </c>
      <c r="B46" s="21"/>
      <c r="C46" s="21"/>
      <c r="D46" s="22"/>
    </row>
    <row r="47" spans="1:4" x14ac:dyDescent="0.25">
      <c r="A47" s="19"/>
      <c r="B47" s="21"/>
      <c r="C47" s="21"/>
      <c r="D47" s="22"/>
    </row>
    <row r="48" spans="1:4" x14ac:dyDescent="0.25">
      <c r="A48" s="19"/>
      <c r="B48" s="21"/>
      <c r="C48" s="21"/>
      <c r="D48" s="22"/>
    </row>
    <row r="49" spans="1:4" x14ac:dyDescent="0.25">
      <c r="A49" s="19"/>
      <c r="B49" s="21"/>
      <c r="C49" s="21"/>
      <c r="D49" s="22"/>
    </row>
    <row r="51" ht="22" customHeight="1" spans="1:4" x14ac:dyDescent="0.25">
      <c r="A51" s="3" t="s">
        <v>41</v>
      </c>
      <c r="B51" s="3"/>
      <c r="C51" s="3"/>
      <c r="D51" s="3"/>
    </row>
    <row r="52" ht="34" customHeight="1" spans="1:4" x14ac:dyDescent="0.25">
      <c r="A52" s="23" t="s">
        <v>42</v>
      </c>
      <c r="B52" s="24">
        <f>"Lectura A (costo contable): EBIT de "&amp;TEXT(B19,"#,##0")&amp;" y EVA de "&amp;TEXT(B25,"#,##0")&amp;". Lectura B (costo recompuesto desde el kardex): EBIT de "&amp;TEXT(B20,"#,##0")&amp;" y EVA de "&amp;TEXT(B26,"#,##0")&amp;". La diferencia entre las dos es de "&amp;TEXT(B20-B19,"#,##0")&amp;" miles $ de EBIT: el trabajo NO elige una, presenta las dos y nombra el dato que las separa."</f>
      </c>
      <c r="C52" s="24"/>
      <c r="D52" s="24"/>
    </row>
    <row r="53" ht="34" customHeight="1" spans="1:4" x14ac:dyDescent="0.25">
      <c r="A53" s="23" t="s">
        <v>43</v>
      </c>
      <c r="B53" s="24">
        <f>IF(B18&gt;0.03,"La brecha del costo es de "&amp;TEXT(B18,"0.0%")&amp;" sobre ventas. Prueba discriminante, en orden: (1) la capa de valuación del sistema —si es legible, la ambigüedad desaparece—; (2) la composición del costo unitario, para detectar doble conteo de mano de obra y gastos indirectos; (3) el recuento físico valorizado del último cierre contra el saldo contable.","La brecha del costo está dentro de tolerancia: la recomposición confirma la contabilidad.")</f>
      </c>
      <c r="C53" s="24"/>
      <c r="D53" s="24"/>
    </row>
    <row r="54" ht="34" customHeight="1" spans="1:4" x14ac:dyDescent="0.25">
      <c r="A54" s="23" t="s">
        <v>44</v>
      </c>
      <c r="B54" s="24">
        <f>IF(B27&gt;=0.8,"La diferencia mantiene el mismo signo en el "&amp;TEXT(B27,"0%")&amp;" de los meses: ya no es ruido de corte de período. Hay mercadería entregada sin facturar (ingreso no reconocido y stock sobrevaluado) o facturación sin entrega (reconocimiento anticipado). Ambas hipótesis quedan abiertas hasta revisar los remitos sin comprobante asociado.","La diferencia oscila alrededor de cero: es corte de período y no afecta el ejercicio.")</f>
      </c>
      <c r="C54" s="24"/>
      <c r="D54" s="24"/>
    </row>
    <row r="55" ht="34" customHeight="1" spans="1:4" x14ac:dyDescent="0.25">
      <c r="A55" s="23" t="s">
        <v>45</v>
      </c>
      <c r="B55" s="24">
        <f>IF(OR(B29&gt;0.15,B28&gt;0.10),"La serie contable mensual NO habilita la proyección: hay "&amp;TEXT(B14,"0")&amp;" meses con egresos negativos y una cuenta puente del "&amp;TEXT(B28,"0.0%")&amp;" de las ventas. La proyección se construye sobre los movimientos operativos y el informe declara por qué.","La serie contable mensual es apta para la fase predictiva.")</f>
      </c>
      <c r="C55" s="24"/>
      <c r="D55" s="24"/>
    </row>
    <row r="57" spans="1:4" x14ac:dyDescent="0.25">
      <c r="A57" s="25" t="s">
        <v>46</v>
      </c>
      <c r="B57" s="25"/>
      <c r="C57" s="25"/>
      <c r="D57" s="25"/>
    </row>
  </sheetData>
  <mergeCells count="14">
    <mergeCell ref="A1:D1"/>
    <mergeCell ref="A2:D2"/>
    <mergeCell ref="A4:D4"/>
    <mergeCell ref="A16:D16"/>
    <mergeCell ref="A31:D31"/>
    <mergeCell ref="A32:D32"/>
    <mergeCell ref="A43:D43"/>
    <mergeCell ref="A44:D44"/>
    <mergeCell ref="A51:D51"/>
    <mergeCell ref="B52:D52"/>
    <mergeCell ref="B53:D53"/>
    <mergeCell ref="B54:D54"/>
    <mergeCell ref="B55:D55"/>
    <mergeCell ref="A57:D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A.11 — Recomposición: las dos lecturas del negocio y sus consecuencias</dc:title>
  <dc:subject/>
  <dc:description/>
  <cp:keywords/>
  <cp:category/>
  <cp:lastModifiedBy>Unknown</cp:lastModifiedBy>
  <dcterms:created xsi:type="dcterms:W3CDTF">2026-09-05T06:27:01Z</dcterms:created>
  <dcterms:modified xsi:type="dcterms:W3CDTF">2026-09-05T06:27:01Z</dcterms:modified>
</cp:coreProperties>
</file>