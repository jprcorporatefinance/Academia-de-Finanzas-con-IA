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 A.2" state="visible" r:id="rId4"/>
  </sheets>
  <calcPr calcId="171027"/>
</workbook>
</file>

<file path=xl/sharedStrings.xml><?xml version="1.0" encoding="utf-8"?>
<sst xmlns="http://schemas.openxmlformats.org/spreadsheetml/2006/main" count="28" uniqueCount="28">
  <si>
    <t>JPR CONSULTING · ASIGNATURA A.2 — Asignación de capital: comparación de alternativas</t>
  </si>
  <si>
    <t>Editá las celdas marfil. El modelo compara todas las alternativas de asignación bajo el mismo criterio y ordena por valor creado por peso. La matriz dinámica muestra el ranking.</t>
  </si>
  <si>
    <t>1 · DATOS DE ENTRADA  (celdas marfil — editá acá)</t>
  </si>
  <si>
    <t>Excedente disponible</t>
  </si>
  <si>
    <t>miles $</t>
  </si>
  <si>
    <t>WACC de la empresa</t>
  </si>
  <si>
    <t>RONIC de la ampliación</t>
  </si>
  <si>
    <t>CFT de la deuda cara</t>
  </si>
  <si>
    <t>Deuda cara cancelable</t>
  </si>
  <si>
    <t>DAF-E actual (días)</t>
  </si>
  <si>
    <t>CCE (días)</t>
  </si>
  <si>
    <t>2 · CÁLCULOS E INDICADORES</t>
  </si>
  <si>
    <t>Spread de reinvertir (RONIC − WACC)</t>
  </si>
  <si>
    <t>Spread de cancelar deuda (CFT − WACC)</t>
  </si>
  <si>
    <t>Valor creado si reinvierte todo</t>
  </si>
  <si>
    <t>Valor creado si cancela deuda</t>
  </si>
  <si>
    <t>Excedente tras cancelar deuda</t>
  </si>
  <si>
    <t>Brecha de liquidez (DAF-E − CCE)</t>
  </si>
  <si>
    <t>3 · Ranking de alternativas por valor creado por peso  (matriz dinámica · una fórmula derrama toda la tabla)</t>
  </si>
  <si>
    <t>SORTBY ordena las alternativas de mayor a menor spread. Cancelar deuda al 26 % es equivalente a una inversión libre de riesgo que rinde 26 %: supera a cualquier proyecto con RONIC menor.</t>
  </si>
  <si>
    <t>Alternativa</t>
  </si>
  <si>
    <t>Retorno</t>
  </si>
  <si>
    <t>Spread vs WACC</t>
  </si>
  <si>
    <t>Veredicto</t>
  </si>
  <si>
    <t>4 · CONCLUSIONES AUTOMÁTICAS</t>
  </si>
  <si>
    <t>Prioridad</t>
  </si>
  <si>
    <t>Alerta de liquidez</t>
  </si>
  <si>
    <t>JPR Consulting · Maestría en Finanzas Corporativas Aplicadas con IA · UNNE — Asignatura A.2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</si>
</sst>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 &quot;días&quot;"/>
  </numFmts>
  <fonts count="16" x14ac:knownFonts="1">
    <font>
      <color theme="1"/>
      <family val="2"/>
      <scheme val="minor"/>
      <sz val="11"/>
      <name val="Calibri"/>
    </font>
    <font>
      <b/>
      <color rgb="FFF4F1EA"/>
      <sz val="13"/>
      <name val="IBM Plex Sans"/>
    </font>
    <font>
      <i/>
      <color rgb="FF5F646C"/>
      <sz val="9.5"/>
      <name val="IBM Plex Sans"/>
    </font>
    <font>
      <b/>
      <color rgb="FF8FD3B7"/>
      <sz val="10.5"/>
      <name val="IBM Plex Mono"/>
    </font>
    <font>
      <sz val="10.5"/>
      <name val="IBM Plex Sans"/>
    </font>
    <font>
      <b/>
      <color rgb="FF1A1D22"/>
      <sz val="10.5"/>
      <name val="IBM Plex Sans"/>
    </font>
    <font>
      <color rgb="FF5F646C"/>
      <sz val="9"/>
      <name val="IBM Plex Sans"/>
    </font>
    <font>
      <b/>
      <sz val="10.5"/>
      <name val="IBM Plex Sans"/>
    </font>
    <font>
      <b/>
      <color rgb="FF0E4E3B"/>
      <sz val="10.5"/>
      <name val="IBM Plex Sans"/>
    </font>
    <font>
      <b/>
      <color rgb="FF33373D"/>
      <sz val="10.5"/>
      <name val="IBM Plex Sans"/>
    </font>
    <font>
      <i/>
      <color rgb="FF8A8F97"/>
      <sz val="9"/>
      <name val="IBM Plex Sans"/>
    </font>
    <font>
      <b/>
      <color rgb="FFF4F1EA"/>
      <sz val="9.5"/>
      <name val="IBM Plex Sans"/>
    </font>
    <font>
      <color rgb="FF33373D"/>
      <sz val="9.5"/>
      <name val="IBM Plex Sans"/>
    </font>
    <font>
      <color rgb="FF33373D"/>
      <sz val="9.5"/>
      <name val="IBM Plex Mono"/>
    </font>
    <font>
      <color rgb="FF0E4E3B"/>
      <sz val="10.5"/>
      <name val="IBM Plex Sans"/>
    </font>
    <font>
      <color rgb="FF8A8F97"/>
      <sz val="8.5"/>
      <name val="IBM Plex Mono"/>
    </font>
  </fonts>
  <fills count="8">
    <fill>
      <patternFill patternType="none"/>
    </fill>
    <fill>
      <patternFill patternType="gray125"/>
    </fill>
    <fill>
      <patternFill patternType="solid">
        <fgColor rgb="FF0A0C0F"/>
      </patternFill>
    </fill>
    <fill>
      <patternFill patternType="solid">
        <fgColor rgb="FF12614A"/>
      </patternFill>
    </fill>
    <fill>
      <patternFill patternType="solid">
        <fgColor rgb="FFF4F1EA"/>
      </patternFill>
    </fill>
    <fill>
      <patternFill patternType="solid">
        <fgColor rgb="FFEFF7F2"/>
      </patternFill>
    </fill>
    <fill>
      <patternFill patternType="solid">
        <fgColor rgb="FFFBFAF7"/>
      </patternFill>
    </fill>
    <fill>
      <patternFill patternType="solid">
        <fgColor rgb="FF0E4E3B"/>
      </patternFill>
    </fill>
  </fills>
  <borders count="2">
    <border>
      <left/>
      <right/>
      <top/>
      <bottom/>
      <diagonal/>
    </border>
    <border>
      <left style="thin">
        <color rgb="FF1E8F6B"/>
      </left>
      <right style="thin">
        <color rgb="FF1E8F6B"/>
      </right>
      <top style="thin">
        <color rgb="FF1E8F6B"/>
      </top>
      <bottom style="thin">
        <color rgb="FF1E8F6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indent="1"/>
    </xf>
    <xf numFmtId="0" fontId="4" fillId="0" borderId="0" xfId="0" applyFont="1"/>
    <xf numFmtId="3" fontId="5" fillId="4" borderId="1" xfId="0" applyNumberFormat="1" applyFont="1" applyFill="1" applyBorder="1"/>
    <xf numFmtId="0" fontId="6" fillId="0" borderId="0" xfId="0" applyFont="1"/>
    <xf numFmtId="164" fontId="5" fillId="4" borderId="1" xfId="0" applyNumberFormat="1" applyFont="1" applyFill="1" applyBorder="1"/>
    <xf numFmtId="165" fontId="5" fillId="4" borderId="1" xfId="0" applyNumberFormat="1" applyFont="1" applyFill="1" applyBorder="1"/>
    <xf numFmtId="0" fontId="7" fillId="0" borderId="0" xfId="0" applyFont="1"/>
    <xf numFmtId="164" fontId="8" fillId="5" borderId="1" xfId="0" applyNumberFormat="1" applyFont="1" applyFill="1" applyBorder="1"/>
    <xf numFmtId="3" fontId="9" fillId="6" borderId="0" xfId="0" applyNumberFormat="1" applyFont="1" applyFill="1"/>
    <xf numFmtId="3" fontId="8" fillId="5" borderId="1" xfId="0" applyNumberFormat="1" applyFont="1" applyFill="1" applyBorder="1"/>
    <xf numFmtId="165" fontId="8" fillId="5" borderId="1" xfId="0" applyNumberFormat="1" applyFont="1" applyFill="1" applyBorder="1"/>
    <xf numFmtId="0" fontId="10" fillId="0" borderId="0" xfId="0" applyFont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12" fillId="0" borderId="0" xfId="0" applyFont="1"/>
    <xf numFmtId="164" fontId="13" fillId="0" borderId="0" xfId="0" applyNumberFormat="1" applyFont="1"/>
    <xf numFmtId="0" fontId="13" fillId="0" borderId="0" xfId="0" applyFont="1"/>
    <xf numFmtId="0" fontId="5" fillId="0" borderId="0" xfId="0" applyFont="1"/>
    <xf numFmtId="0" fontId="14" fillId="5" borderId="0" xfId="0" applyFont="1" applyFill="1" applyAlignment="1">
      <alignment vertical="center" wrapText="1" inden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 showGridLines="0"/>
  </sheetViews>
  <sheetFormatPr defaultRowHeight="16" outlineLevelRow="0" outlineLevelCol="0" x14ac:dyDescent="55" customHeight="1"/>
  <cols>
    <col min="1" max="1" width="46" customWidth="1"/>
    <col min="2" max="2" width="18" customWidth="1"/>
    <col min="3" max="3" width="14" customWidth="1"/>
    <col min="4" max="4" width="5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26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3"/>
      <c r="C4" s="3"/>
      <c r="D4" s="3"/>
    </row>
    <row r="5" spans="1:3" x14ac:dyDescent="0.25">
      <c r="A5" s="4" t="s">
        <v>3</v>
      </c>
      <c r="B5" s="5">
        <v>1200</v>
      </c>
      <c r="C5" s="6" t="s">
        <v>4</v>
      </c>
    </row>
    <row r="6" spans="1:2" x14ac:dyDescent="0.25">
      <c r="A6" s="4" t="s">
        <v>5</v>
      </c>
      <c r="B6" s="7">
        <v>0.195</v>
      </c>
    </row>
    <row r="7" spans="1:2" x14ac:dyDescent="0.25">
      <c r="A7" s="4" t="s">
        <v>6</v>
      </c>
      <c r="B7" s="7">
        <v>0.15</v>
      </c>
    </row>
    <row r="8" spans="1:2" x14ac:dyDescent="0.25">
      <c r="A8" s="4" t="s">
        <v>7</v>
      </c>
      <c r="B8" s="7">
        <v>0.26</v>
      </c>
    </row>
    <row r="9" spans="1:2" x14ac:dyDescent="0.25">
      <c r="A9" s="4" t="s">
        <v>8</v>
      </c>
      <c r="B9" s="5">
        <v>900</v>
      </c>
    </row>
    <row r="10" spans="1:2" x14ac:dyDescent="0.25">
      <c r="A10" s="4" t="s">
        <v>9</v>
      </c>
      <c r="B10" s="8">
        <v>26</v>
      </c>
    </row>
    <row r="11" spans="1:2" x14ac:dyDescent="0.25">
      <c r="A11" s="4" t="s">
        <v>10</v>
      </c>
      <c r="B11" s="8">
        <v>45</v>
      </c>
    </row>
    <row r="13" ht="22" customHeight="1" spans="1:4" x14ac:dyDescent="0.25">
      <c r="A13" s="3" t="s">
        <v>11</v>
      </c>
      <c r="B13" s="3"/>
      <c r="C13" s="3"/>
      <c r="D13" s="3"/>
    </row>
    <row r="14" spans="1:2" x14ac:dyDescent="0.25">
      <c r="A14" s="9" t="s">
        <v>12</v>
      </c>
      <c r="B14" s="10">
        <f>B7-B6</f>
      </c>
    </row>
    <row r="15" spans="1:2" x14ac:dyDescent="0.25">
      <c r="A15" s="9" t="s">
        <v>13</v>
      </c>
      <c r="B15" s="10">
        <f>B8-B6</f>
      </c>
    </row>
    <row r="16" spans="1:2" x14ac:dyDescent="0.25">
      <c r="A16" s="4" t="s">
        <v>14</v>
      </c>
      <c r="B16" s="11">
        <f>B5*B14/B6</f>
      </c>
    </row>
    <row r="17" spans="1:2" x14ac:dyDescent="0.25">
      <c r="A17" s="9" t="s">
        <v>15</v>
      </c>
      <c r="B17" s="12">
        <f>MIN(B5,B9)*B15/B6</f>
      </c>
    </row>
    <row r="18" spans="1:2" x14ac:dyDescent="0.25">
      <c r="A18" s="4" t="s">
        <v>16</v>
      </c>
      <c r="B18" s="11">
        <f>MAX(0,B5-B9)</f>
      </c>
    </row>
    <row r="19" spans="1:2" x14ac:dyDescent="0.25">
      <c r="A19" s="9" t="s">
        <v>17</v>
      </c>
      <c r="B19" s="13">
        <f>B10-B11</f>
      </c>
    </row>
    <row r="21" ht="22" customHeight="1" spans="1:4" x14ac:dyDescent="0.25">
      <c r="A21" s="3" t="s">
        <v>18</v>
      </c>
      <c r="B21" s="3"/>
      <c r="C21" s="3"/>
      <c r="D21" s="3"/>
    </row>
    <row r="22" ht="24" customHeight="1" spans="1:4" x14ac:dyDescent="0.25">
      <c r="A22" s="14" t="s">
        <v>19</v>
      </c>
      <c r="B22" s="14"/>
      <c r="C22" s="14"/>
      <c r="D22" s="14"/>
    </row>
    <row r="23" ht="20" customHeight="1" spans="1:4" x14ac:dyDescent="0.25">
      <c r="A23" s="15" t="s">
        <v>20</v>
      </c>
      <c r="B23" s="15" t="s">
        <v>21</v>
      </c>
      <c r="C23" s="15" t="s">
        <v>22</v>
      </c>
      <c r="D23" s="15" t="s">
        <v>23</v>
      </c>
    </row>
    <row r="24" spans="1:4" x14ac:dyDescent="0.25">
      <c r="A24" s="16">
        <f>_xlfn.LET(nom,{"Cancelar deuda cara";"Reinvertir (ampliación)";"Distribuir a socios"}, ret,_xlfn.VSTACK(B8,B7,B6), spr,ret-B6, ver,IF(spr&gt;0,"CREA valor",IF(spr=0,"Neutro","DESTRUYE valor")), tab,_xlfn.HSTACK(nom,ret,spr,ver), _xlfn._xlws.SORTBY(tab,spr,-1))</f>
      </c>
      <c r="B24" s="17"/>
      <c r="C24" s="17"/>
      <c r="D24" s="18"/>
    </row>
    <row r="25" spans="1:4" x14ac:dyDescent="0.25">
      <c r="A25" s="16"/>
      <c r="B25" s="17"/>
      <c r="C25" s="17"/>
      <c r="D25" s="18"/>
    </row>
    <row r="26" spans="1:4" x14ac:dyDescent="0.25">
      <c r="A26" s="16"/>
      <c r="B26" s="17"/>
      <c r="C26" s="17"/>
      <c r="D26" s="18"/>
    </row>
    <row r="28" ht="22" customHeight="1" spans="1:4" x14ac:dyDescent="0.25">
      <c r="A28" s="3" t="s">
        <v>24</v>
      </c>
      <c r="B28" s="3"/>
      <c r="C28" s="3"/>
      <c r="D28" s="3"/>
    </row>
    <row r="29" ht="34" customHeight="1" spans="1:4" x14ac:dyDescent="0.25">
      <c r="A29" s="19" t="s">
        <v>25</v>
      </c>
      <c r="B29" s="20">
        <f>"Cancelar la deuda cara rinde "&amp;TEXT(B8,"0.0%")&amp;" seguro contra un WACC de "&amp;TEXT(B6,"0.0%")&amp;" (spread "&amp;TEXT(B15,"0.0%")&amp;"): es la mejor asignación. Reinvertir en la ampliación rinde "&amp;TEXT(B7,"0.0%")&amp;", por DEBAJO del WACC: destruye valor."</f>
      </c>
      <c r="C29" s="20"/>
      <c r="D29" s="20"/>
    </row>
    <row r="30" ht="34" customHeight="1" spans="1:4" x14ac:dyDescent="0.25">
      <c r="A30" s="19" t="s">
        <v>26</v>
      </c>
      <c r="B30" s="20">
        <f>IF(B19&lt;0,"ATENCIÓN: DAF-E ("&amp;TEXT(B10,"0")&amp;" días) &lt; CCE ("&amp;TEXT(B11,"0")&amp;" días). Antes de asignar el excedente hay que asegurar la liquidez: la caja mínima no se compromete en ninguna alternativa.","Liquidez suficiente para asignar el excedente.")</f>
      </c>
      <c r="C30" s="20"/>
      <c r="D30" s="20"/>
    </row>
    <row r="32" spans="1:4" x14ac:dyDescent="0.25">
      <c r="A32" s="21" t="s">
        <v>27</v>
      </c>
      <c r="B32" s="21"/>
      <c r="C32" s="21"/>
      <c r="D32" s="21"/>
    </row>
  </sheetData>
  <mergeCells count="10">
    <mergeCell ref="A1:D1"/>
    <mergeCell ref="A2:D2"/>
    <mergeCell ref="A4:D4"/>
    <mergeCell ref="A13:D13"/>
    <mergeCell ref="A21:D21"/>
    <mergeCell ref="A22:D22"/>
    <mergeCell ref="A28:D28"/>
    <mergeCell ref="B29:D29"/>
    <mergeCell ref="B30:D30"/>
    <mergeCell ref="A32:D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 A.2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 Consulting · Maestría FC+IA · UNNE</dc:creator>
  <dc:title>Asignatura A.2 — Asignación de capital: comparación de alternativas</dc:title>
  <dc:subject/>
  <dc:description/>
  <cp:keywords/>
  <cp:category/>
  <cp:lastModifiedBy>Unknown</cp:lastModifiedBy>
  <dcterms:created xsi:type="dcterms:W3CDTF">2026-08-29T08:50:11Z</dcterms:created>
  <dcterms:modified xsi:type="dcterms:W3CDTF">2026-08-29T08:50:11Z</dcterms:modified>
</cp:coreProperties>
</file>