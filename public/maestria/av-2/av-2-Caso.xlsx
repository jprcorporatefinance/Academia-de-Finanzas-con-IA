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2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<sst xmlns="http://schemas.openxmlformats.org/spreadsheetml/2006/main" count="28" uniqueCount="28">
  <si>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A.2 — Asignación de capital: comparación de alternativas</t>
  </si>
  <si>
    <t>Editá las celdas marfil. El modelo compara todas las alternativas de asignación bajo el mismo criterio y ordena por valor creado por peso. La matriz dinámica muestra el ranking.</t>
  </si>
  <si>
    <t>1 · DATOS DE ENTRADA  (celdas marfil — editá acá)</t>
  </si>
  <si>
    <t>Excedente disponible</t>
  </si>
  <si>
    <t>miles $</t>
  </si>
  <si>
    <t>WACC de la empresa</t>
  </si>
  <si>
    <t>RONIC de la ampliación</t>
  </si>
  <si>
    <t>CFT de la deuda cara</t>
  </si>
  <si>
    <t>Deuda cara cancelable</t>
  </si>
  <si>
    <t>DAF-E actual (días)</t>
  </si>
  <si>
    <t>CCE (días)</t>
  </si>
  <si>
    <t>2 · CÁLCULOS E INDICADORES</t>
  </si>
  <si>
    <t>Spread de reinvertir (RONIC − WACC)</t>
  </si>
  <si>
    <t>Spread de cancelar deuda (CFT − WACC)</t>
  </si>
  <si>
    <t>Valor creado si reinvierte todo</t>
  </si>
  <si>
    <t>Valor creado si cancela deuda</t>
  </si>
  <si>
    <t>Excedente tras cancelar deuda</t>
  </si>
  <si>
    <t>Brecha de liquidez (DAF-E − CCE)</t>
  </si>
  <si>
    <t>3 · Ranking de alternativas por valor creado por peso  (matriz dinámica · una fórmula derrama toda la tabla)</t>
  </si>
  <si>
    <t>SORTBY ordena las alternativas de mayor a menor spread. Cancelar deuda al 26 % es equivalente a una inversión libre de riesgo que rinde 26 %: supera a cualquier proyecto con RONIC menor.</t>
  </si>
  <si>
    <t>Alternativa</t>
  </si>
  <si>
    <t>Retorno</t>
  </si>
  <si>
    <t>Spread vs WACC</t>
  </si>
  <si>
    <t>Veredicto</t>
  </si>
  <si>
    <t>4 · CONCLUSIONES AUTOMÁTICAS</t>
  </si>
  <si>
    <t>Prioridad</t>
  </si>
  <si>
    <t>Alerta de liquidez</t>
  </si>
  <si>
    <t>JPR Consulting · Maestría en Finanzas Corporativas Aplicadas con IA · UNNE — Asignatura 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</si>
</sst>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0.26</v>
      </c>
    </row>
    <row r="9" spans="1:2" x14ac:dyDescent="0.25">
      <c r="A9" s="4" t="s">
        <v>8</v>
      </c>
      <c r="B9" s="5">
        <v>900</v>
      </c>
    </row>
    <row r="10" spans="1:2" x14ac:dyDescent="0.25">
      <c r="A10" s="4" t="s">
        <v>9</v>
      </c>
      <c r="B10" s="8">
        <v>26</v>
      </c>
    </row>
    <row r="11" spans="1:2" x14ac:dyDescent="0.25">
      <c r="A11" s="4" t="s">
        <v>10</v>
      </c>
      <c r="B11" s="8">
        <v>45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9" t="s">
        <v>12</v>
      </c>
      <c r="B14" s="10">
        <f>B7-B6</f>
      </c>
    </row>
    <row r="15" spans="1:2" x14ac:dyDescent="0.25">
      <c r="A15" s="9" t="s">
        <v>13</v>
      </c>
      <c r="B15" s="10">
        <f>B8-B6</f>
      </c>
    </row>
    <row r="16" spans="1:2" x14ac:dyDescent="0.25">
      <c r="A16" s="4" t="s">
        <v>14</v>
      </c>
      <c r="B16" s="11">
        <f>B5*B14/B6</f>
      </c>
    </row>
    <row r="17" spans="1:2" x14ac:dyDescent="0.25">
      <c r="A17" s="9" t="s">
        <v>15</v>
      </c>
      <c r="B17" s="12">
        <f>MIN(B5,B9)*B15/B6</f>
      </c>
    </row>
    <row r="18" spans="1:2" x14ac:dyDescent="0.25">
      <c r="A18" s="4" t="s">
        <v>16</v>
      </c>
      <c r="B18" s="11">
        <f>MAX(0,B5-B9)</f>
      </c>
    </row>
    <row r="19" spans="1:2" x14ac:dyDescent="0.25">
      <c r="A19" s="9" t="s">
        <v>17</v>
      </c>
      <c r="B19" s="13">
        <f>B10-B11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_xlfn.LET(nom,{"Cancelar deuda cara";"Reinvertir (ampliación)";"Distribuir a socios"}, ret,_xlfn.VSTACK(B8,B7,B6), spr,ret-B6, ver,IF(spr&gt;0,"CREA valor",IF(spr=0,"Neutro","DESTRUYE valor")), tab,_xlfn.HSTACK(nom,ret,spr,ver), _xlfn._xlws.SORTBY(tab,spr,-1))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8" ht="22" customHeight="1" spans="1:4" x14ac:dyDescent="0.25">
      <c r="A28" s="3" t="s">
        <v>24</v>
      </c>
      <c r="B28" s="3"/>
      <c r="C28" s="3"/>
      <c r="D28" s="3"/>
    </row>
    <row r="29" ht="34" customHeight="1" spans="1:4" x14ac:dyDescent="0.25">
      <c r="A29" s="19" t="s">
        <v>25</v>
      </c>
      <c r="B29" s="20">
        <f>"Cancelar la deuda cara rinde "&amp;TEXT(B8,"0.0%")&amp;" seguro contra un WACC de "&amp;TEXT(B6,"0.0%")&amp;" (spread "&amp;TEXT(B15,"0.0%")&amp;"): es la mejor asignación. Reinvertir en la ampliación rinde "&amp;TEXT(B7,"0.0%")&amp;", por DEBAJO del WACC: destruye valor."</f>
      </c>
      <c r="C29" s="20"/>
      <c r="D29" s="20"/>
    </row>
    <row r="30" ht="34" customHeight="1" spans="1:4" x14ac:dyDescent="0.25">
      <c r="A30" s="19" t="s">
        <v>26</v>
      </c>
      <c r="B30" s="20">
        <f>IF(B19&lt;0,"ATENCIÓN: DAF-E ("&amp;TEXT(B10,"0")&amp;" días) &lt; CCE ("&amp;TEXT(B11,"0")&amp;" días). Antes de asignar el excedente hay que asegurar la liquidez: la caja mínima no se compromete en ninguna alternativa.","Liquidez suficiente para asignar el excedente.")</f>
      </c>
      <c r="C30" s="20"/>
      <c r="D30" s="20"/>
    </row>
    <row r="32" spans="1:4" x14ac:dyDescent="0.25">
      <c r="A32" s="21" t="s">
        <v>27</v>
      </c>
      <c r="B32" s="21"/>
      <c r="C32" s="21"/>
      <c r="D32" s="21"/>
    </row>
  </sheetData>
  <mergeCells count="10">
    <mergeCell ref="A1:D1"/>
    <mergeCell ref="A2:D2"/>
    <mergeCell ref="A4:D4"/>
    <mergeCell ref="A13:D13"/>
    <mergeCell ref="A21:D21"/>
    <mergeCell ref="A22:D22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A.2 — Asignación de capital: comparación de alternativas</dc:title>
  <dc:subject/>
  <dc:description/>
  <cp:keywords/>
  <cp:category/>
  <cp:lastModifiedBy>Unknown</cp:lastModifiedBy>
  <dcterms:created xsi:type="dcterms:W3CDTF">2026-08-29T08:46:23Z</dcterms:created>
  <dcterms:modified xsi:type="dcterms:W3CDTF">2026-08-29T08:46:23Z</dcterms:modified>
</cp:coreProperties>
</file>