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ig A.3" state="visible" r:id="rId4"/>
  </sheets>
  <calcPr calcId="171027"/>
</workbook>
</file>

<file path=xl/sharedStrings.xml><?xml version="1.0" encoding="utf-8"?>
<sst xmlns="http://schemas.openxmlformats.org/spreadsheetml/2006/main" count="28" uniqueCount="28">
  <si>
    <t>JPR CONSULTING · ASIGNATURA A.3 — Visión externa: el efecto del sesgo sobre el retorno de un proyecto</t>
  </si>
  <si>
    <t>Editá las celdas marfil. El modelo compara el RONIC estimado internamente contra el RONIC ajustado por la experiencia de la clase de referencia (sobrecosto y demora), y muestra cuánto del optimismo era sesgo.</t>
  </si>
  <si>
    <t>1 · DATOS DE ENTRADA  (celdas marfil — editá acá)</t>
  </si>
  <si>
    <t>Inversión pendiente</t>
  </si>
  <si>
    <t>miles $</t>
  </si>
  <si>
    <t>Ya gastado (irrecuperable)</t>
  </si>
  <si>
    <t>Flujo anual esperado (visión interna)</t>
  </si>
  <si>
    <t>WACC</t>
  </si>
  <si>
    <t>Sobrecosto promedio de la clase</t>
  </si>
  <si>
    <t>Demora promedio (años)</t>
  </si>
  <si>
    <t>2 · CÁLCULOS E INDICADORES</t>
  </si>
  <si>
    <t>RONIC — visión interna</t>
  </si>
  <si>
    <t>Inversión ajustada por sobrecosto</t>
  </si>
  <si>
    <t>Flujo anual ajustado por demora</t>
  </si>
  <si>
    <t>RONIC — visión externa</t>
  </si>
  <si>
    <t>Brecha atribuible al sesgo</t>
  </si>
  <si>
    <t>Spread visión interna (vs WACC)</t>
  </si>
  <si>
    <t>Spread visión externa (vs WACC)</t>
  </si>
  <si>
    <t>3 · RONIC según el sobrecosto real (visión externa)  (matriz dinámica · una fórmula derrama toda la tabla)</t>
  </si>
  <si>
    <t>Cada 10 % de sobrecosto erosiona el retorno del proyecto. La visión interna parte de 0 % de sobrecosto; la clase de referencia dice otra cosa.</t>
  </si>
  <si>
    <t>Sobrecosto</t>
  </si>
  <si>
    <t>Inversión real</t>
  </si>
  <si>
    <t>RONIC ajustado</t>
  </si>
  <si>
    <t>Spread vs WACC</t>
  </si>
  <si>
    <t>4 · CONCLUSIONES AUTOMÁTICAS</t>
  </si>
  <si>
    <t>El costo del optimismo</t>
  </si>
  <si>
    <t>Costos hundidos</t>
  </si>
  <si>
    <t>JPR Consulting · Maestría en Finanzas Corporativas Aplicadas con IA · UNNE — Asignatura A.3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</si>
</sst>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6" x14ac:knownFonts="1">
    <font>
      <color theme="1"/>
      <family val="2"/>
      <scheme val="minor"/>
      <sz val="11"/>
      <name val="Calibri"/>
    </font>
    <font>
      <b/>
      <color rgb="FFF4F1EA"/>
      <sz val="13"/>
      <name val="IBM Plex Sans"/>
    </font>
    <font>
      <i/>
      <color rgb="FF5F646C"/>
      <sz val="9.5"/>
      <name val="IBM Plex Sans"/>
    </font>
    <font>
      <b/>
      <color rgb="FF8FD3B7"/>
      <sz val="10.5"/>
      <name val="IBM Plex Mono"/>
    </font>
    <font>
      <sz val="10.5"/>
      <name val="IBM Plex Sans"/>
    </font>
    <font>
      <b/>
      <color rgb="FF1A1D22"/>
      <sz val="10.5"/>
      <name val="IBM Plex Sans"/>
    </font>
    <font>
      <color rgb="FF5F646C"/>
      <sz val="9"/>
      <name val="IBM Plex Sans"/>
    </font>
    <font>
      <b/>
      <sz val="10.5"/>
      <name val="IBM Plex Sans"/>
    </font>
    <font>
      <b/>
      <color rgb="FF0E4E3B"/>
      <sz val="10.5"/>
      <name val="IBM Plex Sans"/>
    </font>
    <font>
      <b/>
      <color rgb="FF33373D"/>
      <sz val="10.5"/>
      <name val="IBM Plex Sans"/>
    </font>
    <font>
      <i/>
      <color rgb="FF8A8F97"/>
      <sz val="9"/>
      <name val="IBM Plex Sans"/>
    </font>
    <font>
      <b/>
      <color rgb="FFF4F1EA"/>
      <sz val="9.5"/>
      <name val="IBM Plex Sans"/>
    </font>
    <font>
      <color rgb="FF33373D"/>
      <sz val="9.5"/>
      <name val="IBM Plex Sans"/>
    </font>
    <font>
      <color rgb="FF33373D"/>
      <sz val="9.5"/>
      <name val="IBM Plex Mono"/>
    </font>
    <font>
      <color rgb="FF0E4E3B"/>
      <sz val="10.5"/>
      <name val="IBM Plex Sans"/>
    </font>
    <font>
      <color rgb="FF8A8F97"/>
      <sz val="8.5"/>
      <name val="IBM Plex Mono"/>
    </font>
  </fonts>
  <fills count="8">
    <fill>
      <patternFill patternType="none"/>
    </fill>
    <fill>
      <patternFill patternType="gray125"/>
    </fill>
    <fill>
      <patternFill patternType="solid">
        <fgColor rgb="FF0A0C0F"/>
      </patternFill>
    </fill>
    <fill>
      <patternFill patternType="solid">
        <fgColor rgb="FF12614A"/>
      </patternFill>
    </fill>
    <fill>
      <patternFill patternType="solid">
        <fgColor rgb="FFF4F1EA"/>
      </patternFill>
    </fill>
    <fill>
      <patternFill patternType="solid">
        <fgColor rgb="FFEFF7F2"/>
      </patternFill>
    </fill>
    <fill>
      <patternFill patternType="solid">
        <fgColor rgb="FFFBFAF7"/>
      </patternFill>
    </fill>
    <fill>
      <patternFill patternType="solid">
        <fgColor rgb="FF0E4E3B"/>
      </patternFill>
    </fill>
  </fills>
  <borders count="2">
    <border>
      <left/>
      <right/>
      <top/>
      <bottom/>
      <diagonal/>
    </border>
    <border>
      <left style="thin">
        <color rgb="FF1E8F6B"/>
      </left>
      <right style="thin">
        <color rgb="FF1E8F6B"/>
      </right>
      <top style="thin">
        <color rgb="FF1E8F6B"/>
      </top>
      <bottom style="thin">
        <color rgb="FF1E8F6B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vertical="center" wrapText="1"/>
    </xf>
    <xf numFmtId="0" fontId="3" fillId="3" borderId="0" xfId="0" applyFont="1" applyFill="1" applyAlignment="1">
      <alignment vertical="center" indent="1"/>
    </xf>
    <xf numFmtId="0" fontId="4" fillId="0" borderId="0" xfId="0" applyFont="1"/>
    <xf numFmtId="3" fontId="5" fillId="4" borderId="1" xfId="0" applyNumberFormat="1" applyFont="1" applyFill="1" applyBorder="1"/>
    <xf numFmtId="0" fontId="6" fillId="0" borderId="0" xfId="0" applyFont="1"/>
    <xf numFmtId="164" fontId="5" fillId="4" borderId="1" xfId="0" applyNumberFormat="1" applyFont="1" applyFill="1" applyBorder="1"/>
    <xf numFmtId="9" fontId="5" fillId="4" borderId="1" xfId="0" applyNumberFormat="1" applyFont="1" applyFill="1" applyBorder="1"/>
    <xf numFmtId="4" fontId="5" fillId="4" borderId="1" xfId="0" applyNumberFormat="1" applyFont="1" applyFill="1" applyBorder="1"/>
    <xf numFmtId="0" fontId="7" fillId="0" borderId="0" xfId="0" applyFont="1"/>
    <xf numFmtId="164" fontId="8" fillId="5" borderId="1" xfId="0" applyNumberFormat="1" applyFont="1" applyFill="1" applyBorder="1"/>
    <xf numFmtId="3" fontId="9" fillId="6" borderId="0" xfId="0" applyNumberFormat="1" applyFont="1" applyFill="1"/>
    <xf numFmtId="164" fontId="9" fillId="6" borderId="0" xfId="0" applyNumberFormat="1" applyFont="1" applyFill="1"/>
    <xf numFmtId="0" fontId="10" fillId="0" borderId="0" xfId="0" applyFont="1" applyAlignment="1">
      <alignment vertical="center" wrapText="1"/>
    </xf>
    <xf numFmtId="0" fontId="11" fillId="7" borderId="0" xfId="0" applyFont="1" applyFill="1" applyAlignment="1">
      <alignment vertical="center" wrapText="1"/>
    </xf>
    <xf numFmtId="9" fontId="12" fillId="0" borderId="0" xfId="0" applyNumberFormat="1" applyFont="1"/>
    <xf numFmtId="3" fontId="13" fillId="0" borderId="0" xfId="0" applyNumberFormat="1" applyFont="1"/>
    <xf numFmtId="164" fontId="13" fillId="0" borderId="0" xfId="0" applyNumberFormat="1" applyFont="1"/>
    <xf numFmtId="0" fontId="5" fillId="0" borderId="0" xfId="0" applyFont="1"/>
    <xf numFmtId="0" fontId="14" fillId="5" borderId="0" xfId="0" applyFont="1" applyFill="1" applyAlignment="1">
      <alignment vertical="center" wrapText="1" indent="1"/>
    </xf>
    <xf numFmtId="0" fontId="1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Views>
    <sheetView workbookViewId="0" showGridLines="0"/>
  </sheetViews>
  <sheetFormatPr defaultRowHeight="16" outlineLevelRow="0" outlineLevelCol="0" x14ac:dyDescent="55" customHeight="1"/>
  <cols>
    <col min="1" max="1" width="46" customWidth="1"/>
    <col min="2" max="2" width="18" customWidth="1"/>
    <col min="3" max="3" width="14" customWidth="1"/>
    <col min="4" max="4" width="58" customWidth="1"/>
  </cols>
  <sheetData>
    <row r="1" ht="28" customHeight="1" spans="1:4" x14ac:dyDescent="0.25">
      <c r="A1" s="1" t="s">
        <v>0</v>
      </c>
      <c r="B1" s="1"/>
      <c r="C1" s="1"/>
      <c r="D1" s="1"/>
    </row>
    <row r="2" ht="26" customHeight="1" spans="1:4" x14ac:dyDescent="0.25">
      <c r="A2" s="2" t="s">
        <v>1</v>
      </c>
      <c r="B2" s="2"/>
      <c r="C2" s="2"/>
      <c r="D2" s="2"/>
    </row>
    <row r="4" ht="22" customHeight="1" spans="1:4" x14ac:dyDescent="0.25">
      <c r="A4" s="3" t="s">
        <v>2</v>
      </c>
      <c r="B4" s="3"/>
      <c r="C4" s="3"/>
      <c r="D4" s="3"/>
    </row>
    <row r="5" spans="1:3" x14ac:dyDescent="0.25">
      <c r="A5" s="4" t="s">
        <v>3</v>
      </c>
      <c r="B5" s="5">
        <v>8000</v>
      </c>
      <c r="C5" s="6" t="s">
        <v>4</v>
      </c>
    </row>
    <row r="6" spans="1:2" x14ac:dyDescent="0.25">
      <c r="A6" s="4" t="s">
        <v>5</v>
      </c>
      <c r="B6" s="5">
        <v>180</v>
      </c>
    </row>
    <row r="7" spans="1:2" x14ac:dyDescent="0.25">
      <c r="A7" s="4" t="s">
        <v>6</v>
      </c>
      <c r="B7" s="5">
        <v>1200</v>
      </c>
    </row>
    <row r="8" spans="1:2" x14ac:dyDescent="0.25">
      <c r="A8" s="4" t="s">
        <v>7</v>
      </c>
      <c r="B8" s="7">
        <v>0.195</v>
      </c>
    </row>
    <row r="9" spans="1:2" x14ac:dyDescent="0.25">
      <c r="A9" s="4" t="s">
        <v>8</v>
      </c>
      <c r="B9" s="8">
        <v>0.35</v>
      </c>
    </row>
    <row r="10" spans="1:2" x14ac:dyDescent="0.25">
      <c r="A10" s="4" t="s">
        <v>9</v>
      </c>
      <c r="B10" s="9">
        <v>0.67</v>
      </c>
    </row>
    <row r="12" ht="22" customHeight="1" spans="1:4" x14ac:dyDescent="0.25">
      <c r="A12" s="3" t="s">
        <v>10</v>
      </c>
      <c r="B12" s="3"/>
      <c r="C12" s="3"/>
      <c r="D12" s="3"/>
    </row>
    <row r="13" spans="1:2" x14ac:dyDescent="0.25">
      <c r="A13" s="10" t="s">
        <v>11</v>
      </c>
      <c r="B13" s="11">
        <f>B7/B5</f>
      </c>
    </row>
    <row r="14" spans="1:2" x14ac:dyDescent="0.25">
      <c r="A14" s="4" t="s">
        <v>12</v>
      </c>
      <c r="B14" s="12">
        <f>B5*(1+B9)</f>
      </c>
    </row>
    <row r="15" spans="1:2" x14ac:dyDescent="0.25">
      <c r="A15" s="4" t="s">
        <v>13</v>
      </c>
      <c r="B15" s="12">
        <f>B7/(1+B8)^B10</f>
      </c>
    </row>
    <row r="16" spans="1:2" x14ac:dyDescent="0.25">
      <c r="A16" s="10" t="s">
        <v>14</v>
      </c>
      <c r="B16" s="11">
        <f>B15/B14</f>
      </c>
    </row>
    <row r="17" spans="1:2" x14ac:dyDescent="0.25">
      <c r="A17" s="10" t="s">
        <v>15</v>
      </c>
      <c r="B17" s="11">
        <f>B13-B16</f>
      </c>
    </row>
    <row r="18" spans="1:2" x14ac:dyDescent="0.25">
      <c r="A18" s="4" t="s">
        <v>16</v>
      </c>
      <c r="B18" s="13">
        <f>B13-B8</f>
      </c>
    </row>
    <row r="19" spans="1:2" x14ac:dyDescent="0.25">
      <c r="A19" s="10" t="s">
        <v>17</v>
      </c>
      <c r="B19" s="11">
        <f>B16-B8</f>
      </c>
    </row>
    <row r="21" ht="22" customHeight="1" spans="1:4" x14ac:dyDescent="0.25">
      <c r="A21" s="3" t="s">
        <v>18</v>
      </c>
      <c r="B21" s="3"/>
      <c r="C21" s="3"/>
      <c r="D21" s="3"/>
    </row>
    <row r="22" ht="24" customHeight="1" spans="1:4" x14ac:dyDescent="0.25">
      <c r="A22" s="14" t="s">
        <v>19</v>
      </c>
      <c r="B22" s="14"/>
      <c r="C22" s="14"/>
      <c r="D22" s="14"/>
    </row>
    <row r="23" ht="20" customHeight="1" spans="1:4" x14ac:dyDescent="0.25">
      <c r="A23" s="15" t="s">
        <v>20</v>
      </c>
      <c r="B23" s="15" t="s">
        <v>21</v>
      </c>
      <c r="C23" s="15" t="s">
        <v>22</v>
      </c>
      <c r="D23" s="15" t="s">
        <v>23</v>
      </c>
    </row>
    <row r="24" spans="1:4" x14ac:dyDescent="0.25">
      <c r="A24" s="16">
        <f>_xlfn.LET(sc,_xlfn.SEQUENCE(7,1,0,0.1), inv,B5*(1+sc), fl,B7/(1+B8)^B10, r,fl/inv, _xlfn.HSTACK(sc,inv,r,r-B8))</f>
      </c>
      <c r="B24" s="17"/>
      <c r="C24" s="18"/>
      <c r="D24" s="18"/>
    </row>
    <row r="25" spans="1:4" x14ac:dyDescent="0.25">
      <c r="A25" s="16"/>
      <c r="B25" s="17"/>
      <c r="C25" s="18"/>
      <c r="D25" s="18"/>
    </row>
    <row r="26" spans="1:4" x14ac:dyDescent="0.25">
      <c r="A26" s="16"/>
      <c r="B26" s="17"/>
      <c r="C26" s="18"/>
      <c r="D26" s="18"/>
    </row>
    <row r="27" spans="1:4" x14ac:dyDescent="0.25">
      <c r="A27" s="16"/>
      <c r="B27" s="17"/>
      <c r="C27" s="18"/>
      <c r="D27" s="18"/>
    </row>
    <row r="28" spans="1:4" x14ac:dyDescent="0.25">
      <c r="A28" s="16"/>
      <c r="B28" s="17"/>
      <c r="C28" s="18"/>
      <c r="D28" s="18"/>
    </row>
    <row r="29" spans="1:4" x14ac:dyDescent="0.25">
      <c r="A29" s="16"/>
      <c r="B29" s="17"/>
      <c r="C29" s="18"/>
      <c r="D29" s="18"/>
    </row>
    <row r="30" spans="1:4" x14ac:dyDescent="0.25">
      <c r="A30" s="16"/>
      <c r="B30" s="17"/>
      <c r="C30" s="18"/>
      <c r="D30" s="18"/>
    </row>
    <row r="32" ht="22" customHeight="1" spans="1:4" x14ac:dyDescent="0.25">
      <c r="A32" s="3" t="s">
        <v>24</v>
      </c>
      <c r="B32" s="3"/>
      <c r="C32" s="3"/>
      <c r="D32" s="3"/>
    </row>
    <row r="33" ht="34" customHeight="1" spans="1:4" x14ac:dyDescent="0.25">
      <c r="A33" s="19" t="s">
        <v>25</v>
      </c>
      <c r="B33" s="20">
        <f>"RONIC interno "&amp;TEXT(B13,"0.0%")&amp;" vs RONIC con visión externa "&amp;TEXT(B16,"0.0%")&amp;": "&amp;TEXT(B17,"0.0%")&amp;" de la rentabilidad esperada era optimismo, no proyecto."</f>
      </c>
      <c r="C33" s="20"/>
      <c r="D33" s="20"/>
    </row>
    <row r="34" ht="34" customHeight="1" spans="1:4" x14ac:dyDescent="0.25">
      <c r="A34" s="19" t="s">
        <v>26</v>
      </c>
      <c r="B34" s="20">
        <f>"Los "&amp;TEXT(B6,"#,##0")&amp;" ya gastados son IRRECUPERABLES y no deben entrar en la decisión. La única pregunta válida es si los "&amp;TEXT(B5,"#,##0")&amp;" pendientes se justifican con los flujos futuros."</f>
      </c>
      <c r="C34" s="20"/>
      <c r="D34" s="20"/>
    </row>
    <row r="36" spans="1:4" x14ac:dyDescent="0.25">
      <c r="A36" s="21" t="s">
        <v>27</v>
      </c>
      <c r="B36" s="21"/>
      <c r="C36" s="21"/>
      <c r="D36" s="21"/>
    </row>
  </sheetData>
  <mergeCells count="10">
    <mergeCell ref="A1:D1"/>
    <mergeCell ref="A2:D2"/>
    <mergeCell ref="A4:D4"/>
    <mergeCell ref="A12:D12"/>
    <mergeCell ref="A21:D21"/>
    <mergeCell ref="A22:D22"/>
    <mergeCell ref="A32:D32"/>
    <mergeCell ref="B33:D33"/>
    <mergeCell ref="B34:D34"/>
    <mergeCell ref="A36:D3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Asig A.3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JPR Consulting · Maestría FC+IA · UNNE</dc:creator>
  <dc:title>Asignatura A.3 — Visión externa: el efecto del sesgo sobre el retorno de un proyecto</dc:title>
  <dc:subject/>
  <dc:description/>
  <cp:keywords/>
  <cp:category/>
  <cp:lastModifiedBy>Unknown</cp:lastModifiedBy>
  <dcterms:created xsi:type="dcterms:W3CDTF">2026-08-29T08:53:55Z</dcterms:created>
  <dcterms:modified xsi:type="dcterms:W3CDTF">2026-08-29T08:53:55Z</dcterms:modified>
</cp:coreProperties>
</file>