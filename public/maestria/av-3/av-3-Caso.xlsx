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<sst xmlns="http://schemas.openxmlformats.org/spreadsheetml/2006/main" count="28" uniqueCount="28">
  <si>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A.3 — Visión externa: el efecto del sesgo sobre el retorno de un proyecto</t>
  </si>
  <si>
    <t>Editá las celdas marfil. El modelo compara el RONIC estimado internamente contra el RONIC ajustado por la experiencia de la clase de referencia (sobrecosto y demora), y muestra cuánto del optimismo era sesgo.</t>
  </si>
  <si>
    <t>1 · DATOS DE ENTRADA  (celdas marfil — editá acá)</t>
  </si>
  <si>
    <t>Inversión pendiente</t>
  </si>
  <si>
    <t>miles $</t>
  </si>
  <si>
    <t>Ya gastado (irrecuperable)</t>
  </si>
  <si>
    <t>Flujo anual esperado (visión interna)</t>
  </si>
  <si>
    <t>WACC</t>
  </si>
  <si>
    <t>Sobrecosto promedio de la clase</t>
  </si>
  <si>
    <t>Demora promedio (años)</t>
  </si>
  <si>
    <t>2 · CÁLCULOS E INDICADORES</t>
  </si>
  <si>
    <t>RONIC — visión interna</t>
  </si>
  <si>
    <t>Inversión ajustada por sobrecosto</t>
  </si>
  <si>
    <t>Flujo anual ajustado por demora</t>
  </si>
  <si>
    <t>RONIC — visión externa</t>
  </si>
  <si>
    <t>Brecha atribuible al sesgo</t>
  </si>
  <si>
    <t>Spread visión interna (vs WACC)</t>
  </si>
  <si>
    <t>Spread visión externa (vs WACC)</t>
  </si>
  <si>
    <t>3 · RONIC según el sobrecosto real (visión externa)  (matriz dinámica · una fórmula derrama toda la tabla)</t>
  </si>
  <si>
    <t>Cada 10 % de sobrecosto erosiona el retorno del proyecto. La visión interna parte de 0 % de sobrecosto; la clase de referencia dice otra cosa.</t>
  </si>
  <si>
    <t>Sobrecosto</t>
  </si>
  <si>
    <t>Inversión real</t>
  </si>
  <si>
    <t>RONIC ajustado</t>
  </si>
  <si>
    <t>Spread vs WACC</t>
  </si>
  <si>
    <t>4 · CONCLUSIONES AUTOMÁTICAS</t>
  </si>
  <si>
    <t>El costo del optimismo</t>
  </si>
  <si>
    <t>Costos hundidos</t>
  </si>
  <si>
    <t>JPR Consulting · Maestría en Finanzas Corporativas Aplicadas con IA · UNNE — Asignatura A.3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</si>
</sst>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4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164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5">
        <v>180</v>
      </c>
    </row>
    <row r="7" spans="1:2" x14ac:dyDescent="0.25">
      <c r="A7" s="4" t="s">
        <v>6</v>
      </c>
      <c r="B7" s="5">
        <v>1200</v>
      </c>
    </row>
    <row r="8" spans="1:2" x14ac:dyDescent="0.25">
      <c r="A8" s="4" t="s">
        <v>7</v>
      </c>
      <c r="B8" s="7">
        <v>0.195</v>
      </c>
    </row>
    <row r="9" spans="1:2" x14ac:dyDescent="0.25">
      <c r="A9" s="4" t="s">
        <v>8</v>
      </c>
      <c r="B9" s="8">
        <v>0.35</v>
      </c>
    </row>
    <row r="10" spans="1:2" x14ac:dyDescent="0.25">
      <c r="A10" s="4" t="s">
        <v>9</v>
      </c>
      <c r="B10" s="9">
        <v>0.67</v>
      </c>
    </row>
    <row r="12" ht="22" customHeight="1" spans="1:4" x14ac:dyDescent="0.25">
      <c r="A12" s="3" t="s">
        <v>10</v>
      </c>
      <c r="B12" s="3"/>
      <c r="C12" s="3"/>
      <c r="D12" s="3"/>
    </row>
    <row r="13" spans="1:2" x14ac:dyDescent="0.25">
      <c r="A13" s="10" t="s">
        <v>11</v>
      </c>
      <c r="B13" s="11">
        <f>B7/B5</f>
      </c>
    </row>
    <row r="14" spans="1:2" x14ac:dyDescent="0.25">
      <c r="A14" s="4" t="s">
        <v>12</v>
      </c>
      <c r="B14" s="12">
        <f>B5*(1+B9)</f>
      </c>
    </row>
    <row r="15" spans="1:2" x14ac:dyDescent="0.25">
      <c r="A15" s="4" t="s">
        <v>13</v>
      </c>
      <c r="B15" s="12">
        <f>B7/(1+B8)^B10</f>
      </c>
    </row>
    <row r="16" spans="1:2" x14ac:dyDescent="0.25">
      <c r="A16" s="10" t="s">
        <v>14</v>
      </c>
      <c r="B16" s="11">
        <f>B15/B14</f>
      </c>
    </row>
    <row r="17" spans="1:2" x14ac:dyDescent="0.25">
      <c r="A17" s="10" t="s">
        <v>15</v>
      </c>
      <c r="B17" s="11">
        <f>B13-B16</f>
      </c>
    </row>
    <row r="18" spans="1:2" x14ac:dyDescent="0.25">
      <c r="A18" s="4" t="s">
        <v>16</v>
      </c>
      <c r="B18" s="13">
        <f>B13-B8</f>
      </c>
    </row>
    <row r="19" spans="1:2" x14ac:dyDescent="0.25">
      <c r="A19" s="10" t="s">
        <v>17</v>
      </c>
      <c r="B19" s="11">
        <f>B16-B8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_xlfn.LET(sc,_xlfn.SEQUENCE(7,1,0,0.1), inv,B5*(1+sc), fl,B7/(1+B8)^B10, r,fl/inv, _xlfn.HSTACK(sc,inv,r,r-B8))</f>
      </c>
      <c r="B24" s="17"/>
      <c r="C24" s="18"/>
      <c r="D24" s="18"/>
    </row>
    <row r="25" spans="1:4" x14ac:dyDescent="0.25">
      <c r="A25" s="16"/>
      <c r="B25" s="17"/>
      <c r="C25" s="18"/>
      <c r="D25" s="18"/>
    </row>
    <row r="26" spans="1:4" x14ac:dyDescent="0.25">
      <c r="A26" s="16"/>
      <c r="B26" s="17"/>
      <c r="C26" s="18"/>
      <c r="D26" s="18"/>
    </row>
    <row r="27" spans="1:4" x14ac:dyDescent="0.25">
      <c r="A27" s="16"/>
      <c r="B27" s="17"/>
      <c r="C27" s="18"/>
      <c r="D27" s="18"/>
    </row>
    <row r="28" spans="1:4" x14ac:dyDescent="0.25">
      <c r="A28" s="16"/>
      <c r="B28" s="17"/>
      <c r="C28" s="18"/>
      <c r="D28" s="18"/>
    </row>
    <row r="29" spans="1:4" x14ac:dyDescent="0.25">
      <c r="A29" s="16"/>
      <c r="B29" s="17"/>
      <c r="C29" s="18"/>
      <c r="D29" s="18"/>
    </row>
    <row r="30" spans="1:4" x14ac:dyDescent="0.25">
      <c r="A30" s="16"/>
      <c r="B30" s="17"/>
      <c r="C30" s="18"/>
      <c r="D30" s="18"/>
    </row>
    <row r="32" ht="22" customHeight="1" spans="1:4" x14ac:dyDescent="0.25">
      <c r="A32" s="3" t="s">
        <v>24</v>
      </c>
      <c r="B32" s="3"/>
      <c r="C32" s="3"/>
      <c r="D32" s="3"/>
    </row>
    <row r="33" ht="34" customHeight="1" spans="1:4" x14ac:dyDescent="0.25">
      <c r="A33" s="19" t="s">
        <v>25</v>
      </c>
      <c r="B33" s="20">
        <f>"RONIC interno "&amp;TEXT(B13,"0.0%")&amp;" vs RONIC con visión externa "&amp;TEXT(B16,"0.0%")&amp;": "&amp;TEXT(B17,"0.0%")&amp;" de la rentabilidad esperada era optimismo, no proyecto."</f>
      </c>
      <c r="C33" s="20"/>
      <c r="D33" s="20"/>
    </row>
    <row r="34" ht="34" customHeight="1" spans="1:4" x14ac:dyDescent="0.25">
      <c r="A34" s="19" t="s">
        <v>26</v>
      </c>
      <c r="B34" s="20">
        <f>"Los "&amp;TEXT(B6,"#,##0")&amp;" ya gastados son IRRECUPERABLES y no deben entrar en la decisión. La única pregunta válida es si los "&amp;TEXT(B5,"#,##0")&amp;" pendientes se justifican con los flujos futuros."</f>
      </c>
      <c r="C34" s="20"/>
      <c r="D34" s="20"/>
    </row>
    <row r="36" spans="1:4" x14ac:dyDescent="0.25">
      <c r="A36" s="21" t="s">
        <v>27</v>
      </c>
      <c r="B36" s="21"/>
      <c r="C36" s="21"/>
      <c r="D36" s="21"/>
    </row>
  </sheetData>
  <mergeCells count="10">
    <mergeCell ref="A1:D1"/>
    <mergeCell ref="A2:D2"/>
    <mergeCell ref="A4:D4"/>
    <mergeCell ref="A12:D12"/>
    <mergeCell ref="A21:D21"/>
    <mergeCell ref="A22:D22"/>
    <mergeCell ref="A32:D32"/>
    <mergeCell ref="B33:D33"/>
    <mergeCell ref="B34:D34"/>
    <mergeCell ref="A36:D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A.3 — Visión externa: el efecto del sesgo sobre el retorno de un proyecto</dc:title>
  <dc:subject/>
  <dc:description/>
  <cp:keywords/>
  <cp:category/>
  <cp:lastModifiedBy>Unknown</cp:lastModifiedBy>
  <dcterms:created xsi:type="dcterms:W3CDTF">2026-09-05T06:26:58Z</dcterms:created>
  <dcterms:modified xsi:type="dcterms:W3CDTF">2026-09-05T06:26:58Z</dcterms:modified>
</cp:coreProperties>
</file>