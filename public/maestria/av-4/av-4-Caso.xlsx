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g A.4" state="visible" r:id="rId4"/>
  </sheets>
  <calcPr calcId="171027"/>
</workbook>
</file>

<file path=xl/sharedStrings.xml><?xml version="1.0" encoding="utf-8"?>
<sst xmlns="http://schemas.openxmlformats.org/spreadsheetml/2006/main" count="31" uniqueCount="31">
  <si>
    <t>JPR CONSULTING · ASIGNATURA A.4 — Riesgo climático en la valuación: prima en la tasa vs. ajuste en el flujo</t>
  </si>
  <si>
    <t>Editá las celdas marfil. El modelo compara los dos métodos de incorporar el riesgo físico y valúa la inversión en mitigación. La matriz dinámica muestra la sensibilidad al nivel de riesgo.</t>
  </si>
  <si>
    <t>1 · DATOS DE ENTRADA  (celdas marfil — editá acá)</t>
  </si>
  <si>
    <t>FCFF normalizado anual</t>
  </si>
  <si>
    <t>miles $</t>
  </si>
  <si>
    <t>WACC sin ajuste</t>
  </si>
  <si>
    <t>Crecimiento perpetuo</t>
  </si>
  <si>
    <t>Prima ESG propuesta (comprador)</t>
  </si>
  <si>
    <t>Probabilidad anual de incendio grave</t>
  </si>
  <si>
    <t>Impacto sobre el flujo del año</t>
  </si>
  <si>
    <t>CapEx de mitigación</t>
  </si>
  <si>
    <t>Probabilidad tras mitigación</t>
  </si>
  <si>
    <t>2 · CÁLCULOS E INDICADORES</t>
  </si>
  <si>
    <t>Valor sin ajuste por riesgo</t>
  </si>
  <si>
    <t>Valor con prima ESG en la tasa (comprador)</t>
  </si>
  <si>
    <t>FCFF esperado ajustado por riesgo</t>
  </si>
  <si>
    <t>Valor ajustando el FLUJO (correcto)</t>
  </si>
  <si>
    <t>Diferencia entre métodos</t>
  </si>
  <si>
    <t>FCFF esperado con mitigación</t>
  </si>
  <si>
    <t>Valor con mitigación</t>
  </si>
  <si>
    <t>Valor creado por la mitigación (neto)</t>
  </si>
  <si>
    <t>3 · Valor según la probabilidad del evento  (matriz dinámica · una fórmula derrama toda la tabla)</t>
  </si>
  <si>
    <t>El valor cae de forma lineal con la probabilidad del evento, porque el impacto entra en el flujo esperado. Con la prima en la tasa, en cambio, el castigo es no lineal y no explicita qué riesgo se está midiendo.</t>
  </si>
  <si>
    <t>Probabilidad</t>
  </si>
  <si>
    <t>FCFF ajustado</t>
  </si>
  <si>
    <t>Valor</t>
  </si>
  <si>
    <t>Pérdida vs sin riesgo</t>
  </si>
  <si>
    <t>4 · CONCLUSIONES AUTOMÁTICAS</t>
  </si>
  <si>
    <t>Comparación de métodos</t>
  </si>
  <si>
    <t>Mitigación</t>
  </si>
  <si>
    <t>JPR Consulting · Maestría en Finanzas Corporativas Aplicadas con IA · UNNE — Asignatura 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</si>
</sst>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6" x14ac:knownFonts="1">
    <font>
      <color theme="1"/>
      <family val="2"/>
      <scheme val="minor"/>
      <sz val="11"/>
      <name val="Calibri"/>
    </font>
    <font>
      <b/>
      <color rgb="FFF4F1EA"/>
      <sz val="13"/>
      <name val="IBM Plex Sans"/>
    </font>
    <font>
      <i/>
      <color rgb="FF5F646C"/>
      <sz val="9.5"/>
      <name val="IBM Plex Sans"/>
    </font>
    <font>
      <b/>
      <color rgb="FF8FD3B7"/>
      <sz val="10.5"/>
      <name val="IBM Plex Mono"/>
    </font>
    <font>
      <sz val="10.5"/>
      <name val="IBM Plex Sans"/>
    </font>
    <font>
      <b/>
      <color rgb="FF1A1D22"/>
      <sz val="10.5"/>
      <name val="IBM Plex Sans"/>
    </font>
    <font>
      <color rgb="FF5F646C"/>
      <sz val="9"/>
      <name val="IBM Plex Sans"/>
    </font>
    <font>
      <b/>
      <color rgb="FF33373D"/>
      <sz val="10.5"/>
      <name val="IBM Plex Sans"/>
    </font>
    <font>
      <b/>
      <sz val="10.5"/>
      <name val="IBM Plex Sans"/>
    </font>
    <font>
      <b/>
      <color rgb="FF0E4E3B"/>
      <sz val="10.5"/>
      <name val="IBM Plex Sans"/>
    </font>
    <font>
      <i/>
      <color rgb="FF8A8F97"/>
      <sz val="9"/>
      <name val="IBM Plex Sans"/>
    </font>
    <font>
      <b/>
      <color rgb="FFF4F1EA"/>
      <sz val="9.5"/>
      <name val="IBM Plex Sans"/>
    </font>
    <font>
      <color rgb="FF33373D"/>
      <sz val="9.5"/>
      <name val="IBM Plex Sans"/>
    </font>
    <font>
      <color rgb="FF33373D"/>
      <sz val="9.5"/>
      <name val="IBM Plex Mono"/>
    </font>
    <font>
      <color rgb="FF0E4E3B"/>
      <sz val="10.5"/>
      <name val="IBM Plex Sans"/>
    </font>
    <font>
      <color rgb="FF8A8F97"/>
      <sz val="8.5"/>
      <name val="IBM Plex Mono"/>
    </font>
  </fonts>
  <fills count="8">
    <fill>
      <patternFill patternType="none"/>
    </fill>
    <fill>
      <patternFill patternType="gray125"/>
    </fill>
    <fill>
      <patternFill patternType="solid">
        <fgColor rgb="FF0A0C0F"/>
      </patternFill>
    </fill>
    <fill>
      <patternFill patternType="solid">
        <fgColor rgb="FF12614A"/>
      </patternFill>
    </fill>
    <fill>
      <patternFill patternType="solid">
        <fgColor rgb="FFF4F1EA"/>
      </patternFill>
    </fill>
    <fill>
      <patternFill patternType="solid">
        <fgColor rgb="FFFBFAF7"/>
      </patternFill>
    </fill>
    <fill>
      <patternFill patternType="solid">
        <fgColor rgb="FFEFF7F2"/>
      </patternFill>
    </fill>
    <fill>
      <patternFill patternType="solid">
        <fgColor rgb="FF0E4E3B"/>
      </patternFill>
    </fill>
  </fills>
  <borders count="2">
    <border>
      <left/>
      <right/>
      <top/>
      <bottom/>
      <diagonal/>
    </border>
    <border>
      <left style="thin">
        <color rgb="FF1E8F6B"/>
      </left>
      <right style="thin">
        <color rgb="FF1E8F6B"/>
      </right>
      <top style="thin">
        <color rgb="FF1E8F6B"/>
      </top>
      <bottom style="thin">
        <color rgb="FF1E8F6B"/>
      </bottom>
      <diagonal/>
    </border>
  </borders>
  <cellStyleXfs count="1">
    <xf numFmtId="0" fontId="0" fillId="0" borderId="0"/>
  </cellStyleXfs>
  <cellXfs count="19">
    <xf numFmtId="0" fontId="0" fillId="0" borderId="0" xfId="0"/>
    <xf numFmtId="0" fontId="1" fillId="2" borderId="0" xfId="0" applyFont="1" applyFill="1" applyAlignment="1">
      <alignment horizontal="left" vertical="center" indent="1"/>
    </xf>
    <xf numFmtId="0" fontId="2" fillId="0" borderId="0" xfId="0" applyFont="1" applyAlignment="1">
      <alignment vertical="center" wrapText="1"/>
    </xf>
    <xf numFmtId="0" fontId="3" fillId="3" borderId="0" xfId="0" applyFont="1" applyFill="1" applyAlignment="1">
      <alignment vertical="center" indent="1"/>
    </xf>
    <xf numFmtId="0" fontId="4" fillId="0" borderId="0" xfId="0" applyFont="1"/>
    <xf numFmtId="3" fontId="5" fillId="4" borderId="1" xfId="0" applyNumberFormat="1" applyFont="1" applyFill="1" applyBorder="1"/>
    <xf numFmtId="0" fontId="6" fillId="0" borderId="0" xfId="0" applyFont="1"/>
    <xf numFmtId="164" fontId="5" fillId="4" borderId="1" xfId="0" applyNumberFormat="1" applyFont="1" applyFill="1" applyBorder="1"/>
    <xf numFmtId="9" fontId="5" fillId="4" borderId="1" xfId="0" applyNumberFormat="1" applyFont="1" applyFill="1" applyBorder="1"/>
    <xf numFmtId="3" fontId="7" fillId="5" borderId="0" xfId="0" applyNumberFormat="1" applyFont="1" applyFill="1"/>
    <xf numFmtId="0" fontId="8" fillId="0" borderId="0" xfId="0" applyFont="1"/>
    <xf numFmtId="3" fontId="9" fillId="6" borderId="1" xfId="0" applyNumberFormat="1" applyFont="1" applyFill="1" applyBorder="1"/>
    <xf numFmtId="0" fontId="10" fillId="0" borderId="0" xfId="0" applyFont="1" applyAlignment="1">
      <alignment vertical="center" wrapText="1"/>
    </xf>
    <xf numFmtId="0" fontId="11" fillId="7" borderId="0" xfId="0" applyFont="1" applyFill="1" applyAlignment="1">
      <alignment vertical="center" wrapText="1"/>
    </xf>
    <xf numFmtId="9" fontId="12" fillId="0" borderId="0" xfId="0" applyNumberFormat="1" applyFont="1"/>
    <xf numFmtId="3" fontId="13" fillId="0" borderId="0" xfId="0" applyNumberFormat="1" applyFont="1"/>
    <xf numFmtId="0" fontId="5" fillId="0" borderId="0" xfId="0" applyFont="1"/>
    <xf numFmtId="0" fontId="14" fillId="6" borderId="0" xfId="0" applyFont="1" applyFill="1" applyAlignment="1">
      <alignment vertical="center" wrapText="1" indent="1"/>
    </xf>
    <xf numFmtId="0" fontId="1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workbookViewId="0" showGridLines="0"/>
  </sheetViews>
  <sheetFormatPr defaultRowHeight="16" outlineLevelRow="0" outlineLevelCol="0" x14ac:dyDescent="55" customHeight="1"/>
  <cols>
    <col min="1" max="1" width="46" customWidth="1"/>
    <col min="2" max="2" width="18" customWidth="1"/>
    <col min="3" max="3" width="14" customWidth="1"/>
    <col min="4" max="4" width="58" customWidth="1"/>
  </cols>
  <sheetData>
    <row r="1" ht="28" customHeight="1" spans="1:4" x14ac:dyDescent="0.25">
      <c r="A1" s="1" t="s">
        <v>0</v>
      </c>
      <c r="B1" s="1"/>
      <c r="C1" s="1"/>
      <c r="D1" s="1"/>
    </row>
    <row r="2" ht="26" customHeight="1" spans="1:4" x14ac:dyDescent="0.25">
      <c r="A2" s="2" t="s">
        <v>1</v>
      </c>
      <c r="B2" s="2"/>
      <c r="C2" s="2"/>
      <c r="D2" s="2"/>
    </row>
    <row r="4" ht="22" customHeight="1" spans="1:4" x14ac:dyDescent="0.25">
      <c r="A4" s="3" t="s">
        <v>2</v>
      </c>
      <c r="B4" s="3"/>
      <c r="C4" s="3"/>
      <c r="D4" s="3"/>
    </row>
    <row r="5" spans="1:3" x14ac:dyDescent="0.25">
      <c r="A5" s="4" t="s">
        <v>3</v>
      </c>
      <c r="B5" s="5">
        <v>1834</v>
      </c>
      <c r="C5" s="6" t="s">
        <v>4</v>
      </c>
    </row>
    <row r="6" spans="1:2" x14ac:dyDescent="0.25">
      <c r="A6" s="4" t="s">
        <v>5</v>
      </c>
      <c r="B6" s="7">
        <v>0.195</v>
      </c>
    </row>
    <row r="7" spans="1:2" x14ac:dyDescent="0.25">
      <c r="A7" s="4" t="s">
        <v>6</v>
      </c>
      <c r="B7" s="7">
        <v>0.03</v>
      </c>
    </row>
    <row r="8" spans="1:2" x14ac:dyDescent="0.25">
      <c r="A8" s="4" t="s">
        <v>7</v>
      </c>
      <c r="B8" s="7">
        <v>0.02</v>
      </c>
    </row>
    <row r="9" spans="1:2" x14ac:dyDescent="0.25">
      <c r="A9" s="4" t="s">
        <v>8</v>
      </c>
      <c r="B9" s="8">
        <v>0.08</v>
      </c>
    </row>
    <row r="10" spans="1:2" x14ac:dyDescent="0.25">
      <c r="A10" s="4" t="s">
        <v>9</v>
      </c>
      <c r="B10" s="8">
        <v>0.35</v>
      </c>
    </row>
    <row r="11" spans="1:2" x14ac:dyDescent="0.25">
      <c r="A11" s="4" t="s">
        <v>10</v>
      </c>
      <c r="B11" s="5">
        <v>250</v>
      </c>
    </row>
    <row r="12" spans="1:2" x14ac:dyDescent="0.25">
      <c r="A12" s="4" t="s">
        <v>11</v>
      </c>
      <c r="B12" s="8">
        <v>0.03</v>
      </c>
    </row>
    <row r="14" ht="22" customHeight="1" spans="1:4" x14ac:dyDescent="0.25">
      <c r="A14" s="3" t="s">
        <v>12</v>
      </c>
      <c r="B14" s="3"/>
      <c r="C14" s="3"/>
      <c r="D14" s="3"/>
    </row>
    <row r="15" spans="1:2" x14ac:dyDescent="0.25">
      <c r="A15" s="4" t="s">
        <v>13</v>
      </c>
      <c r="B15" s="9">
        <f>B5*(1+B7)/(B6-B7)</f>
      </c>
    </row>
    <row r="16" spans="1:2" x14ac:dyDescent="0.25">
      <c r="A16" s="10" t="s">
        <v>14</v>
      </c>
      <c r="B16" s="11">
        <f>B5*(1+B7)/(B6+B8-B7)</f>
      </c>
    </row>
    <row r="17" spans="1:2" x14ac:dyDescent="0.25">
      <c r="A17" s="4" t="s">
        <v>15</v>
      </c>
      <c r="B17" s="9">
        <f>B5*(1-B9*B10)</f>
      </c>
    </row>
    <row r="18" spans="1:2" x14ac:dyDescent="0.25">
      <c r="A18" s="10" t="s">
        <v>16</v>
      </c>
      <c r="B18" s="11">
        <f>B17*(1+B7)/(B6-B7)</f>
      </c>
    </row>
    <row r="19" spans="1:2" x14ac:dyDescent="0.25">
      <c r="A19" s="10" t="s">
        <v>17</v>
      </c>
      <c r="B19" s="11">
        <f>B18-B16</f>
      </c>
    </row>
    <row r="20" spans="1:2" x14ac:dyDescent="0.25">
      <c r="A20" s="4" t="s">
        <v>18</v>
      </c>
      <c r="B20" s="9">
        <f>B5*(1-B12*B10)</f>
      </c>
    </row>
    <row r="21" spans="1:2" x14ac:dyDescent="0.25">
      <c r="A21" s="4" t="s">
        <v>19</v>
      </c>
      <c r="B21" s="9">
        <f>B20*(1+B7)/(B6-B7)</f>
      </c>
    </row>
    <row r="22" spans="1:2" x14ac:dyDescent="0.25">
      <c r="A22" s="10" t="s">
        <v>20</v>
      </c>
      <c r="B22" s="11">
        <f>B21-B18-B11</f>
      </c>
    </row>
    <row r="24" ht="22" customHeight="1" spans="1:4" x14ac:dyDescent="0.25">
      <c r="A24" s="3" t="s">
        <v>21</v>
      </c>
      <c r="B24" s="3"/>
      <c r="C24" s="3"/>
      <c r="D24" s="3"/>
    </row>
    <row r="25" ht="24" customHeight="1" spans="1:4" x14ac:dyDescent="0.25">
      <c r="A25" s="12" t="s">
        <v>22</v>
      </c>
      <c r="B25" s="12"/>
      <c r="C25" s="12"/>
      <c r="D25" s="12"/>
    </row>
    <row r="26" ht="20" customHeight="1" spans="1:4" x14ac:dyDescent="0.25">
      <c r="A26" s="13" t="s">
        <v>23</v>
      </c>
      <c r="B26" s="13" t="s">
        <v>24</v>
      </c>
      <c r="C26" s="13" t="s">
        <v>25</v>
      </c>
      <c r="D26" s="13" t="s">
        <v>26</v>
      </c>
    </row>
    <row r="27" spans="1:4" x14ac:dyDescent="0.25">
      <c r="A27" s="14">
        <f>_xlfn.LET(p,_xlfn.SEQUENCE(9,1,0,0.02), f,B5*(1-p*B10), v,f*(1+B7)/(B6-B7), _xlfn.HSTACK(p,f,v,v-B15))</f>
      </c>
      <c r="B27" s="15"/>
      <c r="C27" s="15"/>
      <c r="D27" s="15"/>
    </row>
    <row r="28" spans="1:4" x14ac:dyDescent="0.25">
      <c r="A28" s="14"/>
      <c r="B28" s="15"/>
      <c r="C28" s="15"/>
      <c r="D28" s="15"/>
    </row>
    <row r="29" spans="1:4" x14ac:dyDescent="0.25">
      <c r="A29" s="14"/>
      <c r="B29" s="15"/>
      <c r="C29" s="15"/>
      <c r="D29" s="15"/>
    </row>
    <row r="30" spans="1:4" x14ac:dyDescent="0.25">
      <c r="A30" s="14"/>
      <c r="B30" s="15"/>
      <c r="C30" s="15"/>
      <c r="D30" s="15"/>
    </row>
    <row r="31" spans="1:4" x14ac:dyDescent="0.25">
      <c r="A31" s="14"/>
      <c r="B31" s="15"/>
      <c r="C31" s="15"/>
      <c r="D31" s="15"/>
    </row>
    <row r="32" spans="1:4" x14ac:dyDescent="0.25">
      <c r="A32" s="14"/>
      <c r="B32" s="15"/>
      <c r="C32" s="15"/>
      <c r="D32" s="15"/>
    </row>
    <row r="33" spans="1:4" x14ac:dyDescent="0.25">
      <c r="A33" s="14"/>
      <c r="B33" s="15"/>
      <c r="C33" s="15"/>
      <c r="D33" s="15"/>
    </row>
    <row r="34" spans="1:4" x14ac:dyDescent="0.25">
      <c r="A34" s="14"/>
      <c r="B34" s="15"/>
      <c r="C34" s="15"/>
      <c r="D34" s="15"/>
    </row>
    <row r="35" spans="1:4" x14ac:dyDescent="0.25">
      <c r="A35" s="14"/>
      <c r="B35" s="15"/>
      <c r="C35" s="15"/>
      <c r="D35" s="15"/>
    </row>
    <row r="37" ht="22" customHeight="1" spans="1:4" x14ac:dyDescent="0.25">
      <c r="A37" s="3" t="s">
        <v>27</v>
      </c>
      <c r="B37" s="3"/>
      <c r="C37" s="3"/>
      <c r="D37" s="3"/>
    </row>
    <row r="38" ht="34" customHeight="1" spans="1:4" x14ac:dyDescent="0.25">
      <c r="A38" s="16" t="s">
        <v>28</v>
      </c>
      <c r="B38" s="17">
        <f>"Con prima en la tasa (comprador): "&amp;TEXT(B16,"#,##0")&amp;". Ajustando el flujo (correcto): "&amp;TEXT(B18,"#,##0")&amp;". Diferencia: "&amp;TEXT(B19,"#,##0")&amp;". El método del comprador castiga "&amp;IF(B19&gt;0,"MÁS","MENOS")&amp;" que el riesgo modelado explícitamente."</f>
      </c>
      <c r="C38" s="17"/>
      <c r="D38" s="17"/>
    </row>
    <row r="39" ht="34" customHeight="1" spans="1:4" x14ac:dyDescent="0.25">
      <c r="A39" s="16" t="s">
        <v>29</v>
      </c>
      <c r="B39" s="17">
        <f>IF(B22&gt;0,"Invertir "&amp;TEXT(B11,"#,##0")&amp;" en mitigación CREA "&amp;TEXT(B22,"#,##0")&amp;" de valor neto: bajar la probabilidad de "&amp;TEXT(B9,"0%")&amp;" a "&amp;TEXT(B12,"0%")&amp;" vale más de lo que cuesta.","La mitigación no se justifica a este costo: destruye "&amp;TEXT(-B22,"#,##0")&amp;".")</f>
      </c>
      <c r="C39" s="17"/>
      <c r="D39" s="17"/>
    </row>
    <row r="41" spans="1:4" x14ac:dyDescent="0.25">
      <c r="A41" s="18" t="s">
        <v>30</v>
      </c>
      <c r="B41" s="18"/>
      <c r="C41" s="18"/>
      <c r="D41" s="18"/>
    </row>
  </sheetData>
  <mergeCells count="10">
    <mergeCell ref="A1:D1"/>
    <mergeCell ref="A2:D2"/>
    <mergeCell ref="A4:D4"/>
    <mergeCell ref="A14:D14"/>
    <mergeCell ref="A24:D24"/>
    <mergeCell ref="A25:D25"/>
    <mergeCell ref="A37:D37"/>
    <mergeCell ref="B38:D38"/>
    <mergeCell ref="B39:D39"/>
    <mergeCell ref="A41:D4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Asig A.4</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JPR Consulting · Maestría FC+IA · UNNE</dc:creator>
  <dc:title>Asignatura A.4 — Riesgo climático en la valuación: prima en la tasa vs. ajuste en el flujo</dc:title>
  <dc:subject/>
  <dc:description/>
  <cp:keywords/>
  <cp:category/>
  <cp:lastModifiedBy>Unknown</cp:lastModifiedBy>
  <dcterms:created xsi:type="dcterms:W3CDTF">2026-08-29T08:57:40Z</dcterms:created>
  <dcterms:modified xsi:type="dcterms:W3CDTF">2026-08-29T08:57:40Z</dcterms:modified>
</cp:coreProperties>
</file>