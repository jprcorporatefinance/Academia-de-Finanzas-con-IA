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5" state="visible" r:id="rId4"/>
  </sheets>
  <calcPr calcId="171027"/>
</workbook>
</file>

<file path=xl/sharedStrings.xml><?xml version="1.0" encoding="utf-8"?>
<sst xmlns="http://schemas.openxmlformats.org/spreadsheetml/2006/main" count="32" uniqueCount="32">
  <si>
    <t>JPR CONSULTING · ASIGNATURA A.5 — Brecha de Financiamiento Real y reordenamiento del pasivo</t>
  </si>
  <si>
    <t>Editá las celdas marfil. El modelo calcula el CFT ponderado real, la BFR en puntos y en pesos, y el ahorro de sustituir las líneas más caras. La matriz dinámica ordena los instrumentos por costo.</t>
  </si>
  <si>
    <t>1 · DATOS DE ENTRADA  (celdas marfil — editá acá)</t>
  </si>
  <si>
    <t>Adelanto en cuenta corriente — monto</t>
  </si>
  <si>
    <t>miles $</t>
  </si>
  <si>
    <t>Adelanto — CFT efectivo</t>
  </si>
  <si>
    <t>Descuento de cheques — monto</t>
  </si>
  <si>
    <t>Cheques — CFT efectivo</t>
  </si>
  <si>
    <t>Préstamo bancario — monto</t>
  </si>
  <si>
    <t>Préstamo — CFT efectivo</t>
  </si>
  <si>
    <t>Leasing — monto</t>
  </si>
  <si>
    <t>Leasing — CFT efectivo</t>
  </si>
  <si>
    <t>Kd según calificación sintética</t>
  </si>
  <si>
    <t>CFT del mercado de capitales con SGR</t>
  </si>
  <si>
    <t>2 · CÁLCULOS E INDICADORES</t>
  </si>
  <si>
    <t>Deuda financiera total</t>
  </si>
  <si>
    <t>Costo financiero anual actual</t>
  </si>
  <si>
    <t>CFT ponderado real</t>
  </si>
  <si>
    <t>BFR en puntos</t>
  </si>
  <si>
    <t>BFR en pesos por año</t>
  </si>
  <si>
    <t>Ahorro anual sustituyendo adelanto y cheques</t>
  </si>
  <si>
    <t>CFT ponderado tras la sustitución</t>
  </si>
  <si>
    <t>3 · Instrumentos ordenados por costo (candidatos a sustitución)  (matriz dinámica · una fórmula derrama toda la tabla)</t>
  </si>
  <si>
    <t>SORTBY ordena de más caro a más barato. Los primeros de la lista son los candidatos naturales a sustitución: cada punto que se les baje se traduce directamente en resultado.</t>
  </si>
  <si>
    <t>Instrumento</t>
  </si>
  <si>
    <t>Monto</t>
  </si>
  <si>
    <t>CFT</t>
  </si>
  <si>
    <t>Exceso sobre Kd sintético</t>
  </si>
  <si>
    <t>4 · CONCLUSIONES AUTOMÁTICAS</t>
  </si>
  <si>
    <t>La brecha real</t>
  </si>
  <si>
    <t>Valor de reordenar</t>
  </si>
  <si>
    <t>JPR Consulting · Maestría en Finanzas Corporativas Aplicadas con IA · UNNE — Asignatura A.5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</si>
</sst>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164" fontId="9" fillId="6" borderId="1" xfId="0" applyNumberFormat="1" applyFont="1" applyFill="1" applyBorder="1"/>
    <xf numFmtId="3" fontId="9" fillId="6" borderId="1" xfId="0" applyNumberFormat="1" applyFont="1" applyFill="1" applyBorder="1"/>
    <xf numFmtId="164" fontId="7" fillId="5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164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1200</v>
      </c>
      <c r="C5" s="6" t="s">
        <v>4</v>
      </c>
    </row>
    <row r="6" spans="1:2" x14ac:dyDescent="0.25">
      <c r="A6" s="4" t="s">
        <v>5</v>
      </c>
      <c r="B6" s="7">
        <v>0.38</v>
      </c>
    </row>
    <row r="7" spans="1:2" x14ac:dyDescent="0.25">
      <c r="A7" s="4" t="s">
        <v>6</v>
      </c>
      <c r="B7" s="5">
        <v>2300</v>
      </c>
    </row>
    <row r="8" spans="1:2" x14ac:dyDescent="0.25">
      <c r="A8" s="4" t="s">
        <v>7</v>
      </c>
      <c r="B8" s="7">
        <v>0.29</v>
      </c>
    </row>
    <row r="9" spans="1:2" x14ac:dyDescent="0.25">
      <c r="A9" s="4" t="s">
        <v>8</v>
      </c>
      <c r="B9" s="5">
        <v>2000</v>
      </c>
    </row>
    <row r="10" spans="1:2" x14ac:dyDescent="0.25">
      <c r="A10" s="4" t="s">
        <v>9</v>
      </c>
      <c r="B10" s="7">
        <v>0.24</v>
      </c>
    </row>
    <row r="11" spans="1:2" x14ac:dyDescent="0.25">
      <c r="A11" s="4" t="s">
        <v>10</v>
      </c>
      <c r="B11" s="5">
        <v>1000</v>
      </c>
    </row>
    <row r="12" spans="1:2" x14ac:dyDescent="0.25">
      <c r="A12" s="4" t="s">
        <v>11</v>
      </c>
      <c r="B12" s="7">
        <v>0.21</v>
      </c>
    </row>
    <row r="13" spans="1:2" x14ac:dyDescent="0.25">
      <c r="A13" s="4" t="s">
        <v>12</v>
      </c>
      <c r="B13" s="7">
        <v>0.155</v>
      </c>
    </row>
    <row r="14" spans="1:2" x14ac:dyDescent="0.25">
      <c r="A14" s="4" t="s">
        <v>13</v>
      </c>
      <c r="B14" s="7">
        <v>0.205</v>
      </c>
    </row>
    <row r="16" ht="22" customHeight="1" spans="1:4" x14ac:dyDescent="0.25">
      <c r="A16" s="3" t="s">
        <v>14</v>
      </c>
      <c r="B16" s="3"/>
      <c r="C16" s="3"/>
      <c r="D16" s="3"/>
    </row>
    <row r="17" spans="1:2" x14ac:dyDescent="0.25">
      <c r="A17" s="4" t="s">
        <v>15</v>
      </c>
      <c r="B17" s="8">
        <f>B5+B7+B9+B11</f>
      </c>
    </row>
    <row r="18" spans="1:2" x14ac:dyDescent="0.25">
      <c r="A18" s="4" t="s">
        <v>16</v>
      </c>
      <c r="B18" s="8">
        <f>B5*B6+B7*B8+B9*B10+B11*B12</f>
      </c>
    </row>
    <row r="19" spans="1:2" x14ac:dyDescent="0.25">
      <c r="A19" s="9" t="s">
        <v>17</v>
      </c>
      <c r="B19" s="10">
        <f>B18/B17</f>
      </c>
    </row>
    <row r="20" spans="1:2" x14ac:dyDescent="0.25">
      <c r="A20" s="9" t="s">
        <v>18</v>
      </c>
      <c r="B20" s="10">
        <f>B19-B13</f>
      </c>
    </row>
    <row r="21" spans="1:2" x14ac:dyDescent="0.25">
      <c r="A21" s="9" t="s">
        <v>19</v>
      </c>
      <c r="B21" s="11">
        <f>B20*B17</f>
      </c>
    </row>
    <row r="22" spans="1:2" x14ac:dyDescent="0.25">
      <c r="A22" s="9" t="s">
        <v>20</v>
      </c>
      <c r="B22" s="11">
        <f>(B5*(B6-B14))+(B7*(B8-B14))</f>
      </c>
    </row>
    <row r="23" spans="1:2" x14ac:dyDescent="0.25">
      <c r="A23" s="4" t="s">
        <v>21</v>
      </c>
      <c r="B23" s="12">
        <f>(B18-B22)/B17</f>
      </c>
    </row>
    <row r="25" ht="22" customHeight="1" spans="1:4" x14ac:dyDescent="0.25">
      <c r="A25" s="3" t="s">
        <v>22</v>
      </c>
      <c r="B25" s="3"/>
      <c r="C25" s="3"/>
      <c r="D25" s="3"/>
    </row>
    <row r="26" ht="24" customHeight="1" spans="1:4" x14ac:dyDescent="0.25">
      <c r="A26" s="13" t="s">
        <v>23</v>
      </c>
      <c r="B26" s="13"/>
      <c r="C26" s="13"/>
      <c r="D26" s="13"/>
    </row>
    <row r="27" ht="20" customHeight="1" spans="1:4" x14ac:dyDescent="0.25">
      <c r="A27" s="14" t="s">
        <v>24</v>
      </c>
      <c r="B27" s="14" t="s">
        <v>25</v>
      </c>
      <c r="C27" s="14" t="s">
        <v>26</v>
      </c>
      <c r="D27" s="14" t="s">
        <v>27</v>
      </c>
    </row>
    <row r="28" spans="1:4" x14ac:dyDescent="0.25">
      <c r="A28" s="15">
        <f>_xlfn.LET(nom,{"Adelanto en cta. cte.";"Descuento de cheques";"Préstamo bancario";"Leasing"}, m,_xlfn.VSTACK(B5,B7,B9,B11), c,_xlfn.VSTACK(B6,B8,B10,B12), exc,c-B13, tab,_xlfn.HSTACK(nom,m,c,exc), _xlfn._xlws.SORTBY(tab,c,-1))</f>
      </c>
      <c r="B28" s="16"/>
      <c r="C28" s="17"/>
      <c r="D28" s="17"/>
    </row>
    <row r="29" spans="1:4" x14ac:dyDescent="0.25">
      <c r="A29" s="15"/>
      <c r="B29" s="16"/>
      <c r="C29" s="17"/>
      <c r="D29" s="17"/>
    </row>
    <row r="30" spans="1:4" x14ac:dyDescent="0.25">
      <c r="A30" s="15"/>
      <c r="B30" s="16"/>
      <c r="C30" s="17"/>
      <c r="D30" s="17"/>
    </row>
    <row r="31" spans="1:4" x14ac:dyDescent="0.25">
      <c r="A31" s="15"/>
      <c r="B31" s="16"/>
      <c r="C31" s="17"/>
      <c r="D31" s="17"/>
    </row>
    <row r="33" ht="22" customHeight="1" spans="1:4" x14ac:dyDescent="0.25">
      <c r="A33" s="3" t="s">
        <v>28</v>
      </c>
      <c r="B33" s="3"/>
      <c r="C33" s="3"/>
      <c r="D33" s="3"/>
    </row>
    <row r="34" ht="34" customHeight="1" spans="1:4" x14ac:dyDescent="0.25">
      <c r="A34" s="18" t="s">
        <v>29</v>
      </c>
      <c r="B34" s="19">
        <f>"La empresa paga un CFT ponderado del "&amp;TEXT(B19,"0.0%")&amp;" cuando su calificación sintética justifica "&amp;TEXT(B13,"0.0%")&amp;". La BFR es de "&amp;TEXT(B20,"0.0%")&amp;" = "&amp;TEXT(B21,"#,##0")&amp;" por año de sobrecosto recuperable."</f>
      </c>
      <c r="C34" s="19"/>
      <c r="D34" s="19"/>
    </row>
    <row r="35" ht="34" customHeight="1" spans="1:4" x14ac:dyDescent="0.25">
      <c r="A35" s="18" t="s">
        <v>30</v>
      </c>
      <c r="B35" s="19">
        <f>"Sustituir el adelanto y el descuento bancario por mercado de capitales con aval SGR ahorra "&amp;TEXT(B22,"#,##0")&amp;" por año y baja el CFT ponderado a "&amp;TEXT(B23,"0.0%")&amp;". Es resultado que no requiere vender una unidad más."</f>
      </c>
      <c r="C35" s="19"/>
      <c r="D35" s="19"/>
    </row>
    <row r="37" spans="1:4" x14ac:dyDescent="0.25">
      <c r="A37" s="20" t="s">
        <v>31</v>
      </c>
      <c r="B37" s="20"/>
      <c r="C37" s="20"/>
      <c r="D37" s="20"/>
    </row>
  </sheetData>
  <mergeCells count="10">
    <mergeCell ref="A1:D1"/>
    <mergeCell ref="A2:D2"/>
    <mergeCell ref="A4:D4"/>
    <mergeCell ref="A16:D16"/>
    <mergeCell ref="A25:D25"/>
    <mergeCell ref="A26:D26"/>
    <mergeCell ref="A33:D33"/>
    <mergeCell ref="B34:D34"/>
    <mergeCell ref="B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A.5 — Brecha de Financiamiento Real y reordenamiento del pasivo</dc:title>
  <dc:subject/>
  <dc:description/>
  <cp:keywords/>
  <cp:category/>
  <cp:lastModifiedBy>Unknown</cp:lastModifiedBy>
  <dcterms:created xsi:type="dcterms:W3CDTF">2026-08-29T08:57:41Z</dcterms:created>
  <dcterms:modified xsi:type="dcterms:W3CDTF">2026-08-29T08:57:41Z</dcterms:modified>
</cp:coreProperties>
</file>