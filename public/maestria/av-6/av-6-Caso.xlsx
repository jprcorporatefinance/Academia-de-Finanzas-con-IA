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6" state="visible" r:id="rId4"/>
  </sheets>
  <calcPr calcId="171027"/>
</workbook>
</file>

<file path=xl/sharedStrings.xml><?xml version="1.0" encoding="utf-8"?>
<sst xmlns="http://schemas.openxmlformats.org/spreadsheetml/2006/main" count="43" uniqueCount="43">
  <si>
    <t>JPR CONSULTING · ASIGNATURA A.6 — Canal del riesgo: equivalencias, cuña temporal y auditoría de la prima</t>
  </si>
  <si>
    <t>Editá las celdas marfil. El modelo traduce una prima de la tasa al recorte de flujo que afirma, mide la destrucción de valor y despliega la cuña temporal año por año con una sola fórmula de matriz dinámica.</t>
  </si>
  <si>
    <t>1 · DATOS DE ENTRADA  (celdas marfil — editá acá)</t>
  </si>
  <si>
    <t>Tasa base sin prima (k)</t>
  </si>
  <si>
    <t>Ke de la ruta A: Rf + β·ERP, sin primas adicionales.</t>
  </si>
  <si>
    <t>Crecimiento perpetuo (g)</t>
  </si>
  <si>
    <t>Prima agregada a la tasa (Δ)</t>
  </si>
  <si>
    <t>Componente λ·CRP·We de la prima</t>
  </si>
  <si>
    <t>Recorte de flujo ya aplicado por escenarios</t>
  </si>
  <si>
    <t>Flujo del caso base año 1</t>
  </si>
  <si>
    <t>miles $</t>
  </si>
  <si>
    <t>Años a desplegar en la cuña</t>
  </si>
  <si>
    <t>2 · CÁLCULOS E INDICADORES</t>
  </si>
  <si>
    <t>Recorte constante equivalente (h)</t>
  </si>
  <si>
    <t>Equivalencia de nivel: la prima afirma que TODOS los flujos valen h% menos, todos los años.</t>
  </si>
  <si>
    <t>Golpe permanente anual equivalente (pL)</t>
  </si>
  <si>
    <t>Equivalencia absorbente: probabilidad × severidad de un daño permanente al flujo, cada año.</t>
  </si>
  <si>
    <t>Valor con la tasa base</t>
  </si>
  <si>
    <t>Valor con la prima agregada</t>
  </si>
  <si>
    <t>Destrucción de valor por la prima</t>
  </si>
  <si>
    <t>Prima que justifican los escenarios (Δ*)</t>
  </si>
  <si>
    <t>Camino inverso de la equivalencia de nivel: qué prima produce el mismo valor que el recorte ya aplicado en el flujo.</t>
  </si>
  <si>
    <t>Solapamiento (λ·CRP·We − Δ*)</t>
  </si>
  <si>
    <t>Año en que el riesgo real supera al recorte plano</t>
  </si>
  <si>
    <t>Antes de ese año la prima castiga de más; después, de menos.</t>
  </si>
  <si>
    <t>3 · La cuña temporal: recorte cobrado vs. riesgo acumulado real  (matriz dinámica · una fórmula derrama toda la tabla)</t>
  </si>
  <si>
    <t>SEQUENCE genera el eje temporal y toda la matriz derrama desde una única fórmula. La brecha positiva marca los años sobrecastigados por la prima plana; la negativa, los subcastigados — que son justamente los que concentra el valor terminal.</t>
  </si>
  <si>
    <t>Año</t>
  </si>
  <si>
    <t>Riesgo acumulado real</t>
  </si>
  <si>
    <t>Recorte plano cobrado</t>
  </si>
  <si>
    <t>Brecha (pp)</t>
  </si>
  <si>
    <t>4 · Destrucción de valor según el diferencial (k − g) y la prima  (matriz dinámica · una fórmula derrama toda la tabla)</t>
  </si>
  <si>
    <t>El broadcasting de matrices dinámicas cruza el vector columna de diferenciales con el vector fila de primas en una sola operación, sin arrastrar una sola fórmula.</t>
  </si>
  <si>
    <t>(k − g)</t>
  </si>
  <si>
    <t>Δ = 1 pp</t>
  </si>
  <si>
    <t>Δ = 3 pp</t>
  </si>
  <si>
    <t>Δ = 5 pp</t>
  </si>
  <si>
    <t>Δ = 7 pp</t>
  </si>
  <si>
    <t>5 · CONCLUSIONES AUTOMÁTICAS</t>
  </si>
  <si>
    <t>Lo que la prima afirma</t>
  </si>
  <si>
    <t>Diagnóstico de doble conteo</t>
  </si>
  <si>
    <t>Costo de la prima</t>
  </si>
  <si>
    <t>JPR Consulting · Maestría en Finanzas Corporativas Aplicadas con IA · UNNE — Asignatura A.6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</si>
</sst>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i/>
      <color rgb="FF8A8F97"/>
      <sz val="9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10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164" fontId="9" fillId="5" borderId="1" xfId="0" applyNumberFormat="1" applyFont="1" applyFill="1" applyBorder="1"/>
    <xf numFmtId="10" fontId="9" fillId="5" borderId="1" xfId="0" applyNumberFormat="1" applyFont="1" applyFill="1" applyBorder="1"/>
    <xf numFmtId="3" fontId="10" fillId="6" borderId="0" xfId="0" applyNumberFormat="1" applyFont="1" applyFill="1"/>
    <xf numFmtId="10" fontId="10" fillId="6" borderId="0" xfId="0" applyNumberFormat="1" applyFont="1" applyFill="1"/>
    <xf numFmtId="0" fontId="6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3" fontId="12" fillId="0" borderId="0" xfId="0" applyNumberFormat="1" applyFont="1"/>
    <xf numFmtId="164" fontId="13" fillId="0" borderId="0" xfId="0" applyNumberFormat="1" applyFont="1"/>
    <xf numFmtId="164" fontId="12" fillId="0" borderId="0" xfId="0" applyNumberFormat="1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>
        <v>0.175</v>
      </c>
      <c r="D5" s="6" t="s">
        <v>4</v>
      </c>
    </row>
    <row r="6" spans="1:2" x14ac:dyDescent="0.25">
      <c r="A6" s="4" t="s">
        <v>5</v>
      </c>
      <c r="B6" s="7">
        <v>0.03</v>
      </c>
    </row>
    <row r="7" spans="1:2" x14ac:dyDescent="0.25">
      <c r="A7" s="4" t="s">
        <v>6</v>
      </c>
      <c r="B7" s="5">
        <v>0.0736</v>
      </c>
    </row>
    <row r="8" spans="1:2" x14ac:dyDescent="0.25">
      <c r="A8" s="4" t="s">
        <v>7</v>
      </c>
      <c r="B8" s="5">
        <v>0.043</v>
      </c>
    </row>
    <row r="9" spans="1:2" x14ac:dyDescent="0.25">
      <c r="A9" s="4" t="s">
        <v>8</v>
      </c>
      <c r="B9" s="7">
        <v>0.12</v>
      </c>
    </row>
    <row r="10" spans="1:3" x14ac:dyDescent="0.25">
      <c r="A10" s="4" t="s">
        <v>9</v>
      </c>
      <c r="B10" s="8">
        <v>2500</v>
      </c>
      <c r="C10" s="9" t="s">
        <v>10</v>
      </c>
    </row>
    <row r="11" spans="1:2" x14ac:dyDescent="0.25">
      <c r="A11" s="4" t="s">
        <v>11</v>
      </c>
      <c r="B11" s="8">
        <v>30</v>
      </c>
    </row>
    <row r="13" ht="22" customHeight="1" spans="1:4" x14ac:dyDescent="0.25">
      <c r="A13" s="3" t="s">
        <v>12</v>
      </c>
      <c r="B13" s="3"/>
      <c r="C13" s="3"/>
      <c r="D13" s="3"/>
    </row>
    <row r="14" spans="1:4" x14ac:dyDescent="0.25">
      <c r="A14" s="10" t="s">
        <v>13</v>
      </c>
      <c r="B14" s="11">
        <f>B7/((B5-B6)+B7)</f>
      </c>
      <c r="D14" s="6" t="s">
        <v>14</v>
      </c>
    </row>
    <row r="15" spans="1:4" x14ac:dyDescent="0.25">
      <c r="A15" s="10" t="s">
        <v>15</v>
      </c>
      <c r="B15" s="12">
        <f>B7/(1+B5+B7)</f>
      </c>
      <c r="D15" s="6" t="s">
        <v>16</v>
      </c>
    </row>
    <row r="16" spans="1:2" x14ac:dyDescent="0.25">
      <c r="A16" s="4" t="s">
        <v>17</v>
      </c>
      <c r="B16" s="13">
        <f>B10/(B5-B6)</f>
      </c>
    </row>
    <row r="17" spans="1:2" x14ac:dyDescent="0.25">
      <c r="A17" s="4" t="s">
        <v>18</v>
      </c>
      <c r="B17" s="13">
        <f>B10/(B5+B7-B6)</f>
      </c>
    </row>
    <row r="18" spans="1:2" x14ac:dyDescent="0.25">
      <c r="A18" s="10" t="s">
        <v>19</v>
      </c>
      <c r="B18" s="11">
        <f>1-(B5-B6)/(B5+B7-B6)</f>
      </c>
    </row>
    <row r="19" spans="1:4" x14ac:dyDescent="0.25">
      <c r="A19" s="4" t="s">
        <v>20</v>
      </c>
      <c r="B19" s="14">
        <f>(B5-B6)*B9/(1-B9)</f>
      </c>
      <c r="D19" s="6" t="s">
        <v>21</v>
      </c>
    </row>
    <row r="20" spans="1:2" x14ac:dyDescent="0.25">
      <c r="A20" s="10" t="s">
        <v>22</v>
      </c>
      <c r="B20" s="12">
        <f>B8-B19</f>
      </c>
    </row>
    <row r="21" spans="1:4" x14ac:dyDescent="0.25">
      <c r="A21" s="4" t="s">
        <v>23</v>
      </c>
      <c r="B21" s="13">
        <f>CEILING(LN(1-B14)/LN(1-B15),1)</f>
      </c>
      <c r="D21" s="6" t="s">
        <v>24</v>
      </c>
    </row>
    <row r="23" ht="22" customHeight="1" spans="1:4" x14ac:dyDescent="0.25">
      <c r="A23" s="3" t="s">
        <v>25</v>
      </c>
      <c r="B23" s="3"/>
      <c r="C23" s="3"/>
      <c r="D23" s="3"/>
    </row>
    <row r="24" ht="24" customHeight="1" spans="1:4" x14ac:dyDescent="0.25">
      <c r="A24" s="15" t="s">
        <v>26</v>
      </c>
      <c r="B24" s="15"/>
      <c r="C24" s="15"/>
      <c r="D24" s="15"/>
    </row>
    <row r="25" ht="20" customHeight="1" spans="1:4" x14ac:dyDescent="0.25">
      <c r="A25" s="16" t="s">
        <v>27</v>
      </c>
      <c r="B25" s="16" t="s">
        <v>28</v>
      </c>
      <c r="C25" s="16" t="s">
        <v>29</v>
      </c>
      <c r="D25" s="16" t="s">
        <v>30</v>
      </c>
    </row>
    <row r="26" spans="1:4" x14ac:dyDescent="0.25">
      <c r="A26" s="17">
        <f>_xlfn.LET(t,_xlfn.SEQUENCE(B11), real,1-(1-B15)^t, plano,B14*(t^0), brecha,plano-real, _xlfn.HSTACK(t,real,plano,brecha))</f>
      </c>
      <c r="B26" s="18"/>
      <c r="C26" s="18"/>
      <c r="D26" s="18"/>
    </row>
    <row r="27" spans="1:4" x14ac:dyDescent="0.25">
      <c r="A27" s="17"/>
      <c r="B27" s="18"/>
      <c r="C27" s="18"/>
      <c r="D27" s="18"/>
    </row>
    <row r="28" spans="1:4" x14ac:dyDescent="0.25">
      <c r="A28" s="17"/>
      <c r="B28" s="18"/>
      <c r="C28" s="18"/>
      <c r="D28" s="18"/>
    </row>
    <row r="29" spans="1:4" x14ac:dyDescent="0.25">
      <c r="A29" s="17"/>
      <c r="B29" s="18"/>
      <c r="C29" s="18"/>
      <c r="D29" s="18"/>
    </row>
    <row r="30" spans="1:4" x14ac:dyDescent="0.25">
      <c r="A30" s="17"/>
      <c r="B30" s="18"/>
      <c r="C30" s="18"/>
      <c r="D30" s="18"/>
    </row>
    <row r="31" spans="1:4" x14ac:dyDescent="0.25">
      <c r="A31" s="17"/>
      <c r="B31" s="18"/>
      <c r="C31" s="18"/>
      <c r="D31" s="18"/>
    </row>
    <row r="32" spans="1:4" x14ac:dyDescent="0.25">
      <c r="A32" s="17"/>
      <c r="B32" s="18"/>
      <c r="C32" s="18"/>
      <c r="D32" s="18"/>
    </row>
    <row r="33" spans="1:4" x14ac:dyDescent="0.25">
      <c r="A33" s="17"/>
      <c r="B33" s="18"/>
      <c r="C33" s="18"/>
      <c r="D33" s="18"/>
    </row>
    <row r="34" spans="1:4" x14ac:dyDescent="0.25">
      <c r="A34" s="17"/>
      <c r="B34" s="18"/>
      <c r="C34" s="18"/>
      <c r="D34" s="18"/>
    </row>
    <row r="35" spans="1:4" x14ac:dyDescent="0.25">
      <c r="A35" s="17"/>
      <c r="B35" s="18"/>
      <c r="C35" s="18"/>
      <c r="D35" s="18"/>
    </row>
    <row r="36" spans="1:4" x14ac:dyDescent="0.25">
      <c r="A36" s="17"/>
      <c r="B36" s="18"/>
      <c r="C36" s="18"/>
      <c r="D36" s="18"/>
    </row>
    <row r="37" spans="1:4" x14ac:dyDescent="0.25">
      <c r="A37" s="17"/>
      <c r="B37" s="18"/>
      <c r="C37" s="18"/>
      <c r="D37" s="18"/>
    </row>
    <row r="38" spans="1:4" x14ac:dyDescent="0.25">
      <c r="A38" s="17"/>
      <c r="B38" s="18"/>
      <c r="C38" s="18"/>
      <c r="D38" s="18"/>
    </row>
    <row r="39" spans="1:4" x14ac:dyDescent="0.25">
      <c r="A39" s="17"/>
      <c r="B39" s="18"/>
      <c r="C39" s="18"/>
      <c r="D39" s="18"/>
    </row>
    <row r="40" spans="1:4" x14ac:dyDescent="0.25">
      <c r="A40" s="17"/>
      <c r="B40" s="18"/>
      <c r="C40" s="18"/>
      <c r="D40" s="18"/>
    </row>
    <row r="41" spans="1:4" x14ac:dyDescent="0.25">
      <c r="A41" s="17"/>
      <c r="B41" s="18"/>
      <c r="C41" s="18"/>
      <c r="D41" s="18"/>
    </row>
    <row r="42" spans="1:4" x14ac:dyDescent="0.25">
      <c r="A42" s="17"/>
      <c r="B42" s="18"/>
      <c r="C42" s="18"/>
      <c r="D42" s="18"/>
    </row>
    <row r="43" spans="1:4" x14ac:dyDescent="0.25">
      <c r="A43" s="17"/>
      <c r="B43" s="18"/>
      <c r="C43" s="18"/>
      <c r="D43" s="18"/>
    </row>
    <row r="44" spans="1:4" x14ac:dyDescent="0.25">
      <c r="A44" s="17"/>
      <c r="B44" s="18"/>
      <c r="C44" s="18"/>
      <c r="D44" s="18"/>
    </row>
    <row r="45" spans="1:4" x14ac:dyDescent="0.25">
      <c r="A45" s="17"/>
      <c r="B45" s="18"/>
      <c r="C45" s="18"/>
      <c r="D45" s="18"/>
    </row>
    <row r="46" spans="1:4" x14ac:dyDescent="0.25">
      <c r="A46" s="17"/>
      <c r="B46" s="18"/>
      <c r="C46" s="18"/>
      <c r="D46" s="18"/>
    </row>
    <row r="47" spans="1:4" x14ac:dyDescent="0.25">
      <c r="A47" s="17"/>
      <c r="B47" s="18"/>
      <c r="C47" s="18"/>
      <c r="D47" s="18"/>
    </row>
    <row r="48" spans="1:4" x14ac:dyDescent="0.25">
      <c r="A48" s="17"/>
      <c r="B48" s="18"/>
      <c r="C48" s="18"/>
      <c r="D48" s="18"/>
    </row>
    <row r="49" spans="1:4" x14ac:dyDescent="0.25">
      <c r="A49" s="17"/>
      <c r="B49" s="18"/>
      <c r="C49" s="18"/>
      <c r="D49" s="18"/>
    </row>
    <row r="50" spans="1:4" x14ac:dyDescent="0.25">
      <c r="A50" s="17"/>
      <c r="B50" s="18"/>
      <c r="C50" s="18"/>
      <c r="D50" s="18"/>
    </row>
    <row r="51" spans="1:4" x14ac:dyDescent="0.25">
      <c r="A51" s="17"/>
      <c r="B51" s="18"/>
      <c r="C51" s="18"/>
      <c r="D51" s="18"/>
    </row>
    <row r="52" spans="1:4" x14ac:dyDescent="0.25">
      <c r="A52" s="17"/>
      <c r="B52" s="18"/>
      <c r="C52" s="18"/>
      <c r="D52" s="18"/>
    </row>
    <row r="53" spans="1:4" x14ac:dyDescent="0.25">
      <c r="A53" s="17"/>
      <c r="B53" s="18"/>
      <c r="C53" s="18"/>
      <c r="D53" s="18"/>
    </row>
    <row r="54" spans="1:4" x14ac:dyDescent="0.25">
      <c r="A54" s="17"/>
      <c r="B54" s="18"/>
      <c r="C54" s="18"/>
      <c r="D54" s="18"/>
    </row>
    <row r="55" spans="1:4" x14ac:dyDescent="0.25">
      <c r="A55" s="17"/>
      <c r="B55" s="18"/>
      <c r="C55" s="18"/>
      <c r="D55" s="18"/>
    </row>
    <row r="57" ht="22" customHeight="1" spans="1:4" x14ac:dyDescent="0.25">
      <c r="A57" s="3" t="s">
        <v>31</v>
      </c>
      <c r="B57" s="3"/>
      <c r="C57" s="3"/>
      <c r="D57" s="3"/>
    </row>
    <row r="58" ht="24" customHeight="1" spans="1:4" x14ac:dyDescent="0.25">
      <c r="A58" s="15" t="s">
        <v>32</v>
      </c>
      <c r="B58" s="15"/>
      <c r="C58" s="15"/>
      <c r="D58" s="15"/>
    </row>
    <row r="59" ht="20" customHeight="1" spans="1:5" x14ac:dyDescent="0.25">
      <c r="A59" s="16" t="s">
        <v>33</v>
      </c>
      <c r="B59" s="16" t="s">
        <v>34</v>
      </c>
      <c r="C59" s="16" t="s">
        <v>35</v>
      </c>
      <c r="D59" s="16" t="s">
        <v>36</v>
      </c>
      <c r="E59" s="16" t="s">
        <v>37</v>
      </c>
    </row>
    <row r="60" spans="1:5" x14ac:dyDescent="0.25">
      <c r="A60" s="19">
        <f>_xlfn.LET(dif,_xlfn.VSTACK(0.04,0.06,0.09,0.12), pr,_xlfn.HSTACK(0.01,0.03,0.05,0.07), destr,1-dif/(dif+pr), _xlfn.HSTACK(dif,destr))</f>
      </c>
      <c r="B60" s="18"/>
      <c r="C60" s="18"/>
      <c r="D60" s="18"/>
      <c r="E60" s="18"/>
    </row>
    <row r="61" spans="1:5" x14ac:dyDescent="0.25">
      <c r="A61" s="19"/>
      <c r="B61" s="18"/>
      <c r="C61" s="18"/>
      <c r="D61" s="18"/>
      <c r="E61" s="18"/>
    </row>
    <row r="62" spans="1:5" x14ac:dyDescent="0.25">
      <c r="A62" s="19"/>
      <c r="B62" s="18"/>
      <c r="C62" s="18"/>
      <c r="D62" s="18"/>
      <c r="E62" s="18"/>
    </row>
    <row r="63" spans="1:5" x14ac:dyDescent="0.25">
      <c r="A63" s="19"/>
      <c r="B63" s="18"/>
      <c r="C63" s="18"/>
      <c r="D63" s="18"/>
      <c r="E63" s="18"/>
    </row>
    <row r="65" ht="22" customHeight="1" spans="1:4" x14ac:dyDescent="0.25">
      <c r="A65" s="3" t="s">
        <v>38</v>
      </c>
      <c r="B65" s="3"/>
      <c r="C65" s="3"/>
      <c r="D65" s="3"/>
    </row>
    <row r="66" ht="34" customHeight="1" spans="1:4" x14ac:dyDescent="0.25">
      <c r="A66" s="20" t="s">
        <v>39</v>
      </c>
      <c r="B66" s="21">
        <f>"Una prima de "&amp;TEXT(B7,"0.00%")&amp;" sobre una tasa base de "&amp;TEXT(B5,"0.00%")&amp;" con g = "&amp;TEXT(B6,"0.0%")&amp;" equivale a afirmar que TODOS los flujos, todos los años, valen un "&amp;TEXT(B14,"0.0%")&amp;" menos de lo proyectado — o que cada año hay un "&amp;TEXT(B15,"0.00%")&amp;" de probabilidad por severidad de un golpe permanente."</f>
      </c>
      <c r="C66" s="21"/>
      <c r="D66" s="21"/>
    </row>
    <row r="67" ht="34" customHeight="1" spans="1:4" x14ac:dyDescent="0.25">
      <c r="A67" s="20" t="s">
        <v>40</v>
      </c>
      <c r="B67" s="21">
        <f>IF(B20&gt;0.0025,"DOBLE CONTEO: la tasa cobra "&amp;TEXT(B20,"0.00%")&amp;" de riesgo país POR ENCIMA de lo que los escenarios ya descontaron del flujo. Corregir retirando los escenarios macro del numerador O escalando el CRP — una de las dos, no ambas.",IF(B20&lt;-0.0025,"INCOHERENCIA INVERSA: el denominador subestima en "&amp;TEXT(-B20,"0.00%")&amp;" el riesgo que el propio análisis declara en los escenarios. Subir el CRP o moderar los escenarios.","COHERENTE: los dos canales cubren el riesgo país en medida equivalente. La elección pasa a ser de auditabilidad y comunicación, no de valor."))</f>
      </c>
      <c r="C67" s="21"/>
      <c r="D67" s="21"/>
    </row>
    <row r="68" ht="34" customHeight="1" spans="1:4" x14ac:dyDescent="0.25">
      <c r="A68" s="20" t="s">
        <v>41</v>
      </c>
      <c r="B68" s="21">
        <f>"La prima destruye "&amp;TEXT(B18,"0.0%")&amp;" del valor ("&amp;TEXT(B16-B17,"#,##0")&amp;" miles $). El cruce de la cuña ocurre en el año "&amp;TEXT(B21,"0")&amp;": antes se castiga de más, después de menos — y el valor terminal vive del otro lado del cruce."</f>
      </c>
      <c r="C68" s="21"/>
      <c r="D68" s="21"/>
    </row>
    <row r="70" spans="1:4" x14ac:dyDescent="0.25">
      <c r="A70" s="22" t="s">
        <v>42</v>
      </c>
      <c r="B70" s="22"/>
      <c r="C70" s="22"/>
      <c r="D70" s="22"/>
    </row>
  </sheetData>
  <mergeCells count="13">
    <mergeCell ref="A1:D1"/>
    <mergeCell ref="A2:D2"/>
    <mergeCell ref="A4:D4"/>
    <mergeCell ref="A13:D13"/>
    <mergeCell ref="A23:D23"/>
    <mergeCell ref="A24:D24"/>
    <mergeCell ref="A57:D57"/>
    <mergeCell ref="A58:D58"/>
    <mergeCell ref="A65:D65"/>
    <mergeCell ref="B66:D66"/>
    <mergeCell ref="B67:D67"/>
    <mergeCell ref="B68:D68"/>
    <mergeCell ref="A70:D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A.6 — Canal del riesgo: equivalencias, cuña temporal y auditoría de la prima</dc:title>
  <dc:subject/>
  <dc:description/>
  <cp:keywords/>
  <cp:category/>
  <cp:lastModifiedBy>Unknown</cp:lastModifiedBy>
  <dcterms:created xsi:type="dcterms:W3CDTF">2026-09-05T06:26:59Z</dcterms:created>
  <dcterms:modified xsi:type="dcterms:W3CDTF">2026-09-05T06:26:59Z</dcterms:modified>
</cp:coreProperties>
</file>