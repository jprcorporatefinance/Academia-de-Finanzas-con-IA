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A.7" state="visible" r:id="rId4"/>
  </sheets>
  <calcPr calcId="171027"/>
</workbook>
</file>

<file path=xl/sharedStrings.xml><?xml version="1.0" encoding="utf-8"?>
<sst xmlns="http://schemas.openxmlformats.org/spreadsheetml/2006/main" count="46" uniqueCount="45">
  <si>
    <t>JPR CONSULTING · ASIGNATURA A.7 — Mapa de interrelaciones: puente de valor y cadena ciclo → EVA</t>
  </si>
  <si>
    <t>Editá las celdas marfil. El modelo descompone la variación del EVA generador por generador y despliega la cadena de cuarto orden que va del ciclo de conversión de efectivo al valor, con matrices dinámicas.</t>
  </si>
  <si>
    <t>1 · DATOS DE ENTRADA  (celdas marfil — editá acá)</t>
  </si>
  <si>
    <t>Ventas año base</t>
  </si>
  <si>
    <t>miles $</t>
  </si>
  <si>
    <t>Ventas año actual</t>
  </si>
  <si>
    <t>NOPAT año base</t>
  </si>
  <si>
    <t>NOPAT año actual</t>
  </si>
  <si>
    <t>Capital invertido año base</t>
  </si>
  <si>
    <t>Capital invertido año actual</t>
  </si>
  <si>
    <t>WACC año base</t>
  </si>
  <si>
    <t>WACC año actual</t>
  </si>
  <si>
    <t>Ciclo de efectivo año base</t>
  </si>
  <si>
    <t>Ciclo de efectivo año actual</t>
  </si>
  <si>
    <t>2 · CÁLCULOS E INDICADORES</t>
  </si>
  <si>
    <t>ROIC año base</t>
  </si>
  <si>
    <t>ROIC año actual</t>
  </si>
  <si>
    <t>EVA año base</t>
  </si>
  <si>
    <t>EVA año actual</t>
  </si>
  <si>
    <t>Variación del EVA</t>
  </si>
  <si>
    <t>Margen NOPAT año base</t>
  </si>
  <si>
    <t>Margen NOPAT año actual</t>
  </si>
  <si>
    <t>Rotación del capital año base</t>
  </si>
  <si>
    <t>Rotación del capital año actual</t>
  </si>
  <si>
    <t>Capital por día de ciclo (año actual)</t>
  </si>
  <si>
    <t>Cada día de ciclo inmoviliza aproximadamente un día de ventas de capital de trabajo.</t>
  </si>
  <si>
    <t>EVA que cuesta cada día de ciclo</t>
  </si>
  <si>
    <t>Costo del alargamiento del ciclo</t>
  </si>
  <si>
    <t>3 · Puente de valor: contribución de cada generador a la variación del EVA  (matriz dinámica · una fórmula derrama toda la tabla)</t>
  </si>
  <si>
    <t>Cada contribución aísla un generador manteniendo los demás en su valor de base. SORTBY ordena de la peor a la mejor contribución: la primera fila es la palanca prioritaria.</t>
  </si>
  <si>
    <t>Generador</t>
  </si>
  <si>
    <t>Contribución ($)</t>
  </si>
  <si>
    <t>Peso</t>
  </si>
  <si>
    <t>4 · La cadena de cuarto orden: sensibilidad del EVA al ciclo de efectivo  (matriz dinámica · una fórmula derrama toda la tabla)</t>
  </si>
  <si>
    <t>SEQUENCE recorre el ciclo de 25 a 65 días de a 5. Toda la tabla —capital, ROIC y EVA— derrama de una sola fórmula: cambiar el NOPAT o el WACC recalcula las nueve filas de golpe.</t>
  </si>
  <si>
    <t>Días de ciclo</t>
  </si>
  <si>
    <t>Capital de trabajo</t>
  </si>
  <si>
    <t>Capital invertido</t>
  </si>
  <si>
    <t>ROIC</t>
  </si>
  <si>
    <t>EVA</t>
  </si>
  <si>
    <t>5 · CONCLUSIONES AUTOMÁTICAS</t>
  </si>
  <si>
    <t>Puente de valor</t>
  </si>
  <si>
    <t>Cadena ciclo → EVA</t>
  </si>
  <si>
    <t>Lectura de la palanca</t>
  </si>
  <si>
    <t>JPR Consulting · Maestría en Finanzas Corporativas Aplicadas con IA · UNNE — Asignatura A.7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</si>
</sst>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0 &quot;días&quot;"/>
    <numFmt numFmtId="166" formatCode="0.00&quot;x&quot;"/>
  </numFmts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color rgb="FF5F646C"/>
      <sz val="9"/>
      <name val="IBM Plex Sans"/>
    </font>
    <font>
      <b/>
      <color rgb="FF33373D"/>
      <sz val="10.5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i/>
      <color rgb="FF8A8F97"/>
      <sz val="9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FBFAF7"/>
      </patternFill>
    </fill>
    <fill>
      <patternFill patternType="solid">
        <fgColor rgb="FFEFF7F2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5" fillId="4" borderId="1" xfId="0" applyNumberFormat="1" applyFont="1" applyFill="1" applyBorder="1"/>
    <xf numFmtId="0" fontId="6" fillId="0" borderId="0" xfId="0" applyFont="1"/>
    <xf numFmtId="164" fontId="5" fillId="4" borderId="1" xfId="0" applyNumberFormat="1" applyFont="1" applyFill="1" applyBorder="1"/>
    <xf numFmtId="165" fontId="5" fillId="4" borderId="1" xfId="0" applyNumberFormat="1" applyFont="1" applyFill="1" applyBorder="1"/>
    <xf numFmtId="164" fontId="7" fillId="5" borderId="0" xfId="0" applyNumberFormat="1" applyFont="1" applyFill="1"/>
    <xf numFmtId="3" fontId="7" fillId="5" borderId="0" xfId="0" applyNumberFormat="1" applyFont="1" applyFill="1"/>
    <xf numFmtId="0" fontId="8" fillId="0" borderId="0" xfId="0" applyFont="1"/>
    <xf numFmtId="3" fontId="9" fillId="6" borderId="1" xfId="0" applyNumberFormat="1" applyFont="1" applyFill="1" applyBorder="1"/>
    <xf numFmtId="166" fontId="7" fillId="5" borderId="0" xfId="0" applyNumberFormat="1" applyFont="1" applyFill="1"/>
    <xf numFmtId="0" fontId="10" fillId="0" borderId="0" xfId="0" applyFont="1"/>
    <xf numFmtId="4" fontId="9" fillId="6" borderId="1" xfId="0" applyNumberFormat="1" applyFont="1" applyFill="1" applyBorder="1"/>
    <xf numFmtId="0" fontId="10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2" fillId="0" borderId="0" xfId="0" applyFont="1"/>
    <xf numFmtId="3" fontId="13" fillId="0" borderId="0" xfId="0" applyNumberFormat="1" applyFont="1"/>
    <xf numFmtId="9" fontId="13" fillId="0" borderId="0" xfId="0" applyNumberFormat="1" applyFont="1"/>
    <xf numFmtId="165" fontId="12" fillId="0" borderId="0" xfId="0" applyNumberFormat="1" applyFont="1"/>
    <xf numFmtId="164" fontId="13" fillId="0" borderId="0" xfId="0" applyNumberFormat="1" applyFont="1"/>
    <xf numFmtId="0" fontId="5" fillId="0" borderId="0" xfId="0" applyFont="1"/>
    <xf numFmtId="0" fontId="14" fillId="6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3" x14ac:dyDescent="0.25">
      <c r="A5" s="4" t="s">
        <v>3</v>
      </c>
      <c r="B5" s="5">
        <v>38500</v>
      </c>
      <c r="C5" s="6" t="s">
        <v>4</v>
      </c>
    </row>
    <row r="6" spans="1:3" x14ac:dyDescent="0.25">
      <c r="A6" s="4" t="s">
        <v>5</v>
      </c>
      <c r="B6" s="5">
        <v>42000</v>
      </c>
      <c r="C6" s="6" t="s">
        <v>4</v>
      </c>
    </row>
    <row r="7" spans="1:2" x14ac:dyDescent="0.25">
      <c r="A7" s="4" t="s">
        <v>6</v>
      </c>
      <c r="B7" s="5">
        <v>2665</v>
      </c>
    </row>
    <row r="8" spans="1:2" x14ac:dyDescent="0.25">
      <c r="A8" s="4" t="s">
        <v>7</v>
      </c>
      <c r="B8" s="5">
        <v>2502.5</v>
      </c>
    </row>
    <row r="9" spans="1:2" x14ac:dyDescent="0.25">
      <c r="A9" s="4" t="s">
        <v>8</v>
      </c>
      <c r="B9" s="5">
        <v>10480</v>
      </c>
    </row>
    <row r="10" spans="1:2" x14ac:dyDescent="0.25">
      <c r="A10" s="4" t="s">
        <v>9</v>
      </c>
      <c r="B10" s="5">
        <v>11770</v>
      </c>
    </row>
    <row r="11" spans="1:2" x14ac:dyDescent="0.25">
      <c r="A11" s="4" t="s">
        <v>10</v>
      </c>
      <c r="B11" s="7">
        <v>0.194</v>
      </c>
    </row>
    <row r="12" spans="1:2" x14ac:dyDescent="0.25">
      <c r="A12" s="4" t="s">
        <v>11</v>
      </c>
      <c r="B12" s="7">
        <v>0.2</v>
      </c>
    </row>
    <row r="13" spans="1:2" x14ac:dyDescent="0.25">
      <c r="A13" s="4" t="s">
        <v>12</v>
      </c>
      <c r="B13" s="8">
        <v>36</v>
      </c>
    </row>
    <row r="14" spans="1:2" x14ac:dyDescent="0.25">
      <c r="A14" s="4" t="s">
        <v>13</v>
      </c>
      <c r="B14" s="8">
        <v>43</v>
      </c>
    </row>
    <row r="16" ht="22" customHeight="1" spans="1:4" x14ac:dyDescent="0.25">
      <c r="A16" s="3" t="s">
        <v>14</v>
      </c>
      <c r="B16" s="3"/>
      <c r="C16" s="3"/>
      <c r="D16" s="3"/>
    </row>
    <row r="17" spans="1:2" x14ac:dyDescent="0.25">
      <c r="A17" s="4" t="s">
        <v>15</v>
      </c>
      <c r="B17" s="9">
        <f>B7/B9</f>
      </c>
    </row>
    <row r="18" spans="1:2" x14ac:dyDescent="0.25">
      <c r="A18" s="4" t="s">
        <v>16</v>
      </c>
      <c r="B18" s="9">
        <f>B8/B10</f>
      </c>
    </row>
    <row r="19" spans="1:2" x14ac:dyDescent="0.25">
      <c r="A19" s="4" t="s">
        <v>17</v>
      </c>
      <c r="B19" s="10">
        <f>B9*(B17-B11)</f>
      </c>
    </row>
    <row r="20" spans="1:2" x14ac:dyDescent="0.25">
      <c r="A20" s="11" t="s">
        <v>18</v>
      </c>
      <c r="B20" s="12">
        <f>B10*(B18-B12)</f>
      </c>
    </row>
    <row r="21" spans="1:2" x14ac:dyDescent="0.25">
      <c r="A21" s="11" t="s">
        <v>19</v>
      </c>
      <c r="B21" s="12">
        <f>B20-B19</f>
      </c>
    </row>
    <row r="22" spans="1:2" x14ac:dyDescent="0.25">
      <c r="A22" s="4" t="s">
        <v>20</v>
      </c>
      <c r="B22" s="9">
        <f>B7/B5</f>
      </c>
    </row>
    <row r="23" spans="1:2" x14ac:dyDescent="0.25">
      <c r="A23" s="4" t="s">
        <v>21</v>
      </c>
      <c r="B23" s="9">
        <f>B8/B6</f>
      </c>
    </row>
    <row r="24" spans="1:2" x14ac:dyDescent="0.25">
      <c r="A24" s="4" t="s">
        <v>22</v>
      </c>
      <c r="B24" s="13">
        <f>B5/B9</f>
      </c>
    </row>
    <row r="25" spans="1:2" x14ac:dyDescent="0.25">
      <c r="A25" s="4" t="s">
        <v>23</v>
      </c>
      <c r="B25" s="13">
        <f>B6/B10</f>
      </c>
    </row>
    <row r="26" spans="1:4" x14ac:dyDescent="0.25">
      <c r="A26" s="4" t="s">
        <v>24</v>
      </c>
      <c r="B26" s="10">
        <f>B6/365</f>
      </c>
      <c r="D26" s="14" t="s">
        <v>25</v>
      </c>
    </row>
    <row r="27" spans="1:2" x14ac:dyDescent="0.25">
      <c r="A27" s="11" t="s">
        <v>26</v>
      </c>
      <c r="B27" s="15">
        <f>-B26*B12</f>
      </c>
    </row>
    <row r="28" spans="1:2" x14ac:dyDescent="0.25">
      <c r="A28" s="11" t="s">
        <v>27</v>
      </c>
      <c r="B28" s="12">
        <f>(B14-B13)*B27</f>
      </c>
    </row>
    <row r="30" ht="22" customHeight="1" spans="1:4" x14ac:dyDescent="0.25">
      <c r="A30" s="3" t="s">
        <v>28</v>
      </c>
      <c r="B30" s="3"/>
      <c r="C30" s="3"/>
      <c r="D30" s="3"/>
    </row>
    <row r="31" ht="24" customHeight="1" spans="1:4" x14ac:dyDescent="0.25">
      <c r="A31" s="16" t="s">
        <v>29</v>
      </c>
      <c r="B31" s="16"/>
      <c r="C31" s="16"/>
      <c r="D31" s="16"/>
    </row>
    <row r="32" ht="20" customHeight="1" spans="1:3" x14ac:dyDescent="0.25">
      <c r="A32" s="17" t="s">
        <v>30</v>
      </c>
      <c r="B32" s="17" t="s">
        <v>31</v>
      </c>
      <c r="C32" s="17" t="s">
        <v>32</v>
      </c>
    </row>
    <row r="33" spans="1:3" x14ac:dyDescent="0.25">
      <c r="A33" s="18">
        <f>_xlfn.LET(nom,{"Margen NOPAT";"Rotación del capital";"Escala del capital";"Costo de capital"}, cMar,(B23-B22)*B24*B9, cRot,B23*(B25-B24)*B9, cCap,(B10-B9)*(B18-B11), cWac,-B10*(B12-B11), contrib,_xlfn.VSTACK(cMar,cRot,cCap,cWac), peso,contrib/SUM(contrib), _xlfn._xlws.SORTBY(_xlfn.HSTACK(nom,contrib,peso),contrib,1))</f>
      </c>
      <c r="B33" s="19"/>
      <c r="C33" s="20"/>
    </row>
    <row r="34" spans="1:3" x14ac:dyDescent="0.25">
      <c r="A34" s="18"/>
      <c r="B34" s="19"/>
      <c r="C34" s="20"/>
    </row>
    <row r="35" spans="1:3" x14ac:dyDescent="0.25">
      <c r="A35" s="18"/>
      <c r="B35" s="19"/>
      <c r="C35" s="20"/>
    </row>
    <row r="36" spans="1:3" x14ac:dyDescent="0.25">
      <c r="A36" s="18"/>
      <c r="B36" s="19"/>
      <c r="C36" s="20"/>
    </row>
    <row r="38" ht="22" customHeight="1" spans="1:4" x14ac:dyDescent="0.25">
      <c r="A38" s="3" t="s">
        <v>33</v>
      </c>
      <c r="B38" s="3"/>
      <c r="C38" s="3"/>
      <c r="D38" s="3"/>
    </row>
    <row r="39" ht="24" customHeight="1" spans="1:4" x14ac:dyDescent="0.25">
      <c r="A39" s="16" t="s">
        <v>34</v>
      </c>
      <c r="B39" s="16"/>
      <c r="C39" s="16"/>
      <c r="D39" s="16"/>
    </row>
    <row r="40" ht="20" customHeight="1" spans="1:5" x14ac:dyDescent="0.25">
      <c r="A40" s="17" t="s">
        <v>35</v>
      </c>
      <c r="B40" s="17" t="s">
        <v>36</v>
      </c>
      <c r="C40" s="17" t="s">
        <v>37</v>
      </c>
      <c r="D40" s="17" t="s">
        <v>38</v>
      </c>
      <c r="E40" s="17" t="s">
        <v>39</v>
      </c>
    </row>
    <row r="41" spans="1:5" x14ac:dyDescent="0.25">
      <c r="A41" s="21">
        <f>_xlfn.LET(d,_xlfn.SEQUENCE(9,1,25,5), cap,B10+(d-B14)*B26, roic,B8/cap, eva,cap*(roic-B12), _xlfn.HSTACK(d,d*B26,cap,roic,eva))</f>
      </c>
      <c r="B41" s="19"/>
      <c r="C41" s="19"/>
      <c r="D41" s="22"/>
      <c r="E41" s="19"/>
    </row>
    <row r="42" spans="1:5" x14ac:dyDescent="0.25">
      <c r="A42" s="21"/>
      <c r="B42" s="19"/>
      <c r="C42" s="19"/>
      <c r="D42" s="22"/>
      <c r="E42" s="19"/>
    </row>
    <row r="43" spans="1:5" x14ac:dyDescent="0.25">
      <c r="A43" s="21"/>
      <c r="B43" s="19"/>
      <c r="C43" s="19"/>
      <c r="D43" s="22"/>
      <c r="E43" s="19"/>
    </row>
    <row r="44" spans="1:5" x14ac:dyDescent="0.25">
      <c r="A44" s="21"/>
      <c r="B44" s="19"/>
      <c r="C44" s="19"/>
      <c r="D44" s="22"/>
      <c r="E44" s="19"/>
    </row>
    <row r="45" spans="1:5" x14ac:dyDescent="0.25">
      <c r="A45" s="21"/>
      <c r="B45" s="19"/>
      <c r="C45" s="19"/>
      <c r="D45" s="22"/>
      <c r="E45" s="19"/>
    </row>
    <row r="46" spans="1:5" x14ac:dyDescent="0.25">
      <c r="A46" s="21"/>
      <c r="B46" s="19"/>
      <c r="C46" s="19"/>
      <c r="D46" s="22"/>
      <c r="E46" s="19"/>
    </row>
    <row r="47" spans="1:5" x14ac:dyDescent="0.25">
      <c r="A47" s="21"/>
      <c r="B47" s="19"/>
      <c r="C47" s="19"/>
      <c r="D47" s="22"/>
      <c r="E47" s="19"/>
    </row>
    <row r="48" spans="1:5" x14ac:dyDescent="0.25">
      <c r="A48" s="21"/>
      <c r="B48" s="19"/>
      <c r="C48" s="19"/>
      <c r="D48" s="22"/>
      <c r="E48" s="19"/>
    </row>
    <row r="49" spans="1:5" x14ac:dyDescent="0.25">
      <c r="A49" s="21"/>
      <c r="B49" s="19"/>
      <c r="C49" s="19"/>
      <c r="D49" s="22"/>
      <c r="E49" s="19"/>
    </row>
    <row r="51" ht="22" customHeight="1" spans="1:4" x14ac:dyDescent="0.25">
      <c r="A51" s="3" t="s">
        <v>40</v>
      </c>
      <c r="B51" s="3"/>
      <c r="C51" s="3"/>
      <c r="D51" s="3"/>
    </row>
    <row r="52" ht="34" customHeight="1" spans="1:4" x14ac:dyDescent="0.25">
      <c r="A52" s="23" t="s">
        <v>41</v>
      </c>
      <c r="B52" s="24">
        <f>"El EVA pasó de "&amp;TEXT(B19,"#,##0")&amp;" a "&amp;TEXT(B20,"#,##0")&amp;" ("&amp;TEXT(B21,"+#,##0;-#,##0")&amp;"). El ROIC cayó de "&amp;TEXT(B17,"0.0%")&amp;" a "&amp;TEXT(B18,"0.0%")&amp;" mientras el WACC subió de "&amp;TEXT(B11,"0.0%")&amp;" a "&amp;TEXT(B12,"0.0%")&amp;": el spread se comprimió por los dos lados a la vez."</f>
      </c>
      <c r="C52" s="24"/>
      <c r="D52" s="24"/>
    </row>
    <row r="53" ht="34" customHeight="1" spans="1:4" x14ac:dyDescent="0.25">
      <c r="A53" s="23" t="s">
        <v>42</v>
      </c>
      <c r="B53" s="24">
        <f>"Cada día de ciclo de conversión de efectivo cuesta "&amp;TEXT(-B27,"#,##0.00")&amp;" miles $ de EVA. El alargamiento de "&amp;TEXT(B14-B13,"0")&amp;" días destruyó "&amp;TEXT(-B28,"#,##0")&amp;" miles $ — y volver al ciclo anterior los recupera sin vender un peso más."</f>
      </c>
      <c r="C53" s="24"/>
      <c r="D53" s="24"/>
    </row>
    <row r="54" ht="34" customHeight="1" spans="1:4" x14ac:dyDescent="0.25">
      <c r="A54" s="23" t="s">
        <v>43</v>
      </c>
      <c r="B54" s="24">
        <f>IF(B23&lt;B22,IF(B25&lt;B24,"Doble deterioro: cayeron margen Y rotación. DuPont indica revisar pricing y estructura de costos, y simultáneamente el capital de trabajo. Es el cuadro más exigente porque no hay una sola palanca.","La caída viene del MARGEN, no de la rotación: el problema es de pricing o de estructura de costos, no de eficiencia del capital."),"El margen se sostuvo: la caída del ROIC viene de la escala o de la rotación del capital.")</f>
      </c>
      <c r="C54" s="24"/>
      <c r="D54" s="24"/>
    </row>
    <row r="56" spans="1:4" x14ac:dyDescent="0.25">
      <c r="A56" s="25" t="s">
        <v>44</v>
      </c>
      <c r="B56" s="25"/>
      <c r="C56" s="25"/>
      <c r="D56" s="25"/>
    </row>
  </sheetData>
  <mergeCells count="13">
    <mergeCell ref="A1:D1"/>
    <mergeCell ref="A2:D2"/>
    <mergeCell ref="A4:D4"/>
    <mergeCell ref="A16:D16"/>
    <mergeCell ref="A30:D30"/>
    <mergeCell ref="A31:D31"/>
    <mergeCell ref="A38:D38"/>
    <mergeCell ref="A39:D39"/>
    <mergeCell ref="A51:D51"/>
    <mergeCell ref="B52:D52"/>
    <mergeCell ref="B53:D53"/>
    <mergeCell ref="B54:D54"/>
    <mergeCell ref="A56:D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A.7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A.7 — Mapa de interrelaciones: puente de valor y cadena ciclo → EVA</dc:title>
  <dc:subject/>
  <dc:description/>
  <cp:keywords/>
  <cp:category/>
  <cp:lastModifiedBy>Unknown</cp:lastModifiedBy>
  <dcterms:created xsi:type="dcterms:W3CDTF">2026-09-05T06:27:00Z</dcterms:created>
  <dcterms:modified xsi:type="dcterms:W3CDTF">2026-09-05T06:27:00Z</dcterms:modified>
</cp:coreProperties>
</file>