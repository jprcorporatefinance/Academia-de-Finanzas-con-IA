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A.8" state="visible" r:id="rId4"/>
  </sheets>
  <calcPr calcId="171027"/>
</workbook>
</file>

<file path=xl/sharedStrings.xml><?xml version="1.0" encoding="utf-8"?>
<sst xmlns="http://schemas.openxmlformats.org/spreadsheetml/2006/main" count="48" uniqueCount="47">
  <si>
    <t>JPR CONSULTING · ASIGNATURA A.8 — TSR Sintético, TBR y descuentos de capital cerrado</t>
  </si>
  <si>
    <t>Editá las celdas marfil. El modelo calcula el TBR del ejercicio, descompone el TSR Sintético en sus generadores y despliega la curva del DLOM en función del horizonte de liquidez con una sola fórmula de matriz dinámica.</t>
  </si>
  <si>
    <t>1 · DATOS DE ENTRADA  (celdas marfil — editá acá)</t>
  </si>
  <si>
    <t>Valor intrínseco al inicio (V₀)</t>
  </si>
  <si>
    <t>miles $</t>
  </si>
  <si>
    <t>Valor intrínseco al cierre (V₁)</t>
  </si>
  <si>
    <t>Flujo de caja libre del ejercicio</t>
  </si>
  <si>
    <t>Ventas año anterior</t>
  </si>
  <si>
    <t>Ventas año actual</t>
  </si>
  <si>
    <t>Margen neto normalizado anterior</t>
  </si>
  <si>
    <t>Margen neto normalizado actual</t>
  </si>
  <si>
    <t>Prima de control de comparables</t>
  </si>
  <si>
    <t>Volatilidad del patrimonio (σ)</t>
  </si>
  <si>
    <t>Horizonte hasta la liquidez (T, años)</t>
  </si>
  <si>
    <t>ROIC normalizado</t>
  </si>
  <si>
    <t>WACC del dueño no diversificado</t>
  </si>
  <si>
    <t>2 · CÁLCULOS E INDICADORES</t>
  </si>
  <si>
    <t>Yield del TBR (FCF / V₀)</t>
  </si>
  <si>
    <t>Ganancia de capital intrínseco</t>
  </si>
  <si>
    <t>Total Business Return del ejercicio</t>
  </si>
  <si>
    <t>Generador: crecimiento de ventas</t>
  </si>
  <si>
    <t>Contribución en forma logarítmica, que es la que se suma exactamente.</t>
  </si>
  <si>
    <t>Generador: cambio de margen</t>
  </si>
  <si>
    <t>Generador: contribución de caja</t>
  </si>
  <si>
    <t>DLOC (falta de control)</t>
  </si>
  <si>
    <t>DLOM por Chaffe con el T actual</t>
  </si>
  <si>
    <t>DLOM por Chaffe si T = 1 año</t>
  </si>
  <si>
    <t>Descuento total (multiplicativo)</t>
  </si>
  <si>
    <t>Descuento si se sumara (INCORRECTO)</t>
  </si>
  <si>
    <t>Se muestra solo para dimensionar el sobrecastigo del error más frecuente.</t>
  </si>
  <si>
    <t>Spread ROIC − WACC</t>
  </si>
  <si>
    <t>3 · El DLOM como función del horizonte de liquidez  (matriz dinámica · una fórmula derrama toda la tabla)</t>
  </si>
  <si>
    <t>SEQUENCE recorre el horizonte de 0,5 a 3 años. La última columna es la palanca: cuánto valor gana el minoritario por cada 100 de valor base al acortar la salida — sin vender un peso más.</t>
  </si>
  <si>
    <t>T (años)</t>
  </si>
  <si>
    <t>DLOM Chaffe</t>
  </si>
  <si>
    <t>Valor minoritario por cada 100</t>
  </si>
  <si>
    <t>Ganancia vs T actual</t>
  </si>
  <si>
    <t>4 · Descomposición aditiva del TSR Sintético  (matriz dinámica · una fórmula derrama toda la tabla)</t>
  </si>
  <si>
    <t>La forma logarítmica hace que las contribuciones sumen exactamente. Si el margen o la utilidad fueran negativos, esta descomposición se rompe y hay que migrar al EVA.</t>
  </si>
  <si>
    <t>Generador</t>
  </si>
  <si>
    <t>Contribución (pp)</t>
  </si>
  <si>
    <t>5 · CONCLUSIONES AUTOMÁTICAS</t>
  </si>
  <si>
    <t>Retorno del ejercicio</t>
  </si>
  <si>
    <t>Descuentos de capital cerrado</t>
  </si>
  <si>
    <t>Palanca de liquidez</t>
  </si>
  <si>
    <t>Política de dividendos</t>
  </si>
  <si>
    <t>JPR Consulting · Maestría en Finanzas Corporativas Aplicadas con IA · UNNE — Asignatura A.8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</si>
</sst>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color rgb="FF33373D"/>
      <sz val="10.5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FBFAF7"/>
      </patternFill>
    </fill>
    <fill>
      <patternFill patternType="solid">
        <fgColor rgb="FFEFF7F2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9" fontId="5" fillId="4" borderId="1" xfId="0" applyNumberFormat="1" applyFont="1" applyFill="1" applyBorder="1"/>
    <xf numFmtId="164" fontId="7" fillId="5" borderId="0" xfId="0" applyNumberFormat="1" applyFont="1" applyFill="1"/>
    <xf numFmtId="0" fontId="8" fillId="0" borderId="0" xfId="0" applyFont="1"/>
    <xf numFmtId="164" fontId="9" fillId="6" borderId="1" xfId="0" applyNumberFormat="1" applyFont="1" applyFill="1" applyBorder="1"/>
    <xf numFmtId="0" fontId="10" fillId="0" borderId="0" xfId="0" applyFont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4" fontId="12" fillId="0" borderId="0" xfId="0" applyNumberFormat="1" applyFont="1"/>
    <xf numFmtId="164" fontId="13" fillId="0" borderId="0" xfId="0" applyNumberFormat="1" applyFont="1"/>
    <xf numFmtId="4" fontId="13" fillId="0" borderId="0" xfId="0" applyNumberFormat="1" applyFont="1"/>
    <xf numFmtId="0" fontId="12" fillId="0" borderId="0" xfId="0" applyFont="1"/>
    <xf numFmtId="0" fontId="5" fillId="0" borderId="0" xfId="0" applyFont="1"/>
    <xf numFmtId="0" fontId="14" fillId="6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9400</v>
      </c>
      <c r="C5" s="6" t="s">
        <v>4</v>
      </c>
    </row>
    <row r="6" spans="1:3" x14ac:dyDescent="0.25">
      <c r="A6" s="4" t="s">
        <v>5</v>
      </c>
      <c r="B6" s="5">
        <v>9850</v>
      </c>
      <c r="C6" s="6" t="s">
        <v>4</v>
      </c>
    </row>
    <row r="7" spans="1:2" x14ac:dyDescent="0.25">
      <c r="A7" s="4" t="s">
        <v>6</v>
      </c>
      <c r="B7" s="5">
        <v>620</v>
      </c>
    </row>
    <row r="8" spans="1:2" x14ac:dyDescent="0.25">
      <c r="A8" s="4" t="s">
        <v>7</v>
      </c>
      <c r="B8" s="5">
        <v>38500</v>
      </c>
    </row>
    <row r="9" spans="1:2" x14ac:dyDescent="0.25">
      <c r="A9" s="4" t="s">
        <v>8</v>
      </c>
      <c r="B9" s="5">
        <v>42000</v>
      </c>
    </row>
    <row r="10" spans="1:2" x14ac:dyDescent="0.25">
      <c r="A10" s="4" t="s">
        <v>9</v>
      </c>
      <c r="B10" s="7">
        <v>0.054</v>
      </c>
    </row>
    <row r="11" spans="1:2" x14ac:dyDescent="0.25">
      <c r="A11" s="4" t="s">
        <v>10</v>
      </c>
      <c r="B11" s="7">
        <v>0.046</v>
      </c>
    </row>
    <row r="12" spans="1:2" x14ac:dyDescent="0.25">
      <c r="A12" s="4" t="s">
        <v>11</v>
      </c>
      <c r="B12" s="8">
        <v>0.28</v>
      </c>
    </row>
    <row r="13" spans="1:2" x14ac:dyDescent="0.25">
      <c r="A13" s="4" t="s">
        <v>12</v>
      </c>
      <c r="B13" s="8">
        <v>0.65</v>
      </c>
    </row>
    <row r="14" spans="1:2" x14ac:dyDescent="0.25">
      <c r="A14" s="4" t="s">
        <v>13</v>
      </c>
      <c r="B14" s="5">
        <v>3</v>
      </c>
    </row>
    <row r="15" spans="1:2" x14ac:dyDescent="0.25">
      <c r="A15" s="4" t="s">
        <v>14</v>
      </c>
      <c r="B15" s="7">
        <v>0.213</v>
      </c>
    </row>
    <row r="16" spans="1:2" x14ac:dyDescent="0.25">
      <c r="A16" s="4" t="s">
        <v>15</v>
      </c>
      <c r="B16" s="7">
        <v>0.2</v>
      </c>
    </row>
    <row r="18" ht="22" customHeight="1" spans="1:4" x14ac:dyDescent="0.25">
      <c r="A18" s="3" t="s">
        <v>16</v>
      </c>
      <c r="B18" s="3"/>
      <c r="C18" s="3"/>
      <c r="D18" s="3"/>
    </row>
    <row r="19" spans="1:2" x14ac:dyDescent="0.25">
      <c r="A19" s="4" t="s">
        <v>17</v>
      </c>
      <c r="B19" s="9">
        <f>B7/B5</f>
      </c>
    </row>
    <row r="20" spans="1:2" x14ac:dyDescent="0.25">
      <c r="A20" s="4" t="s">
        <v>18</v>
      </c>
      <c r="B20" s="9">
        <f>(B6-B5)/B5</f>
      </c>
    </row>
    <row r="21" spans="1:2" x14ac:dyDescent="0.25">
      <c r="A21" s="10" t="s">
        <v>19</v>
      </c>
      <c r="B21" s="11">
        <f>B19+B20</f>
      </c>
    </row>
    <row r="22" spans="1:4" x14ac:dyDescent="0.25">
      <c r="A22" s="4" t="s">
        <v>20</v>
      </c>
      <c r="B22" s="9">
        <f>LN(B9/B8)</f>
      </c>
      <c r="D22" s="12" t="s">
        <v>21</v>
      </c>
    </row>
    <row r="23" spans="1:2" x14ac:dyDescent="0.25">
      <c r="A23" s="4" t="s">
        <v>22</v>
      </c>
      <c r="B23" s="9">
        <f>LN(B11/B10)</f>
      </c>
    </row>
    <row r="24" spans="1:2" x14ac:dyDescent="0.25">
      <c r="A24" s="4" t="s">
        <v>23</v>
      </c>
      <c r="B24" s="9">
        <f>B19</f>
      </c>
    </row>
    <row r="25" spans="1:2" x14ac:dyDescent="0.25">
      <c r="A25" s="10" t="s">
        <v>24</v>
      </c>
      <c r="B25" s="11">
        <f>1-1/(1+B12)</f>
      </c>
    </row>
    <row r="26" spans="1:2" x14ac:dyDescent="0.25">
      <c r="A26" s="10" t="s">
        <v>25</v>
      </c>
      <c r="B26" s="11">
        <f>2*_xlfn.NORM.S.DIST(B13*SQRT(B14)/2,TRUE)-1</f>
      </c>
    </row>
    <row r="27" spans="1:2" x14ac:dyDescent="0.25">
      <c r="A27" s="4" t="s">
        <v>26</v>
      </c>
      <c r="B27" s="9">
        <f>2*_xlfn.NORM.S.DIST(B13*SQRT(1)/2,TRUE)-1</f>
      </c>
    </row>
    <row r="28" spans="1:2" x14ac:dyDescent="0.25">
      <c r="A28" s="10" t="s">
        <v>27</v>
      </c>
      <c r="B28" s="11">
        <f>1-((1-B25)*(1-B26))</f>
      </c>
    </row>
    <row r="29" spans="1:4" x14ac:dyDescent="0.25">
      <c r="A29" s="4" t="s">
        <v>28</v>
      </c>
      <c r="B29" s="9">
        <f>B25+B26</f>
      </c>
      <c r="D29" s="12" t="s">
        <v>29</v>
      </c>
    </row>
    <row r="30" spans="1:2" x14ac:dyDescent="0.25">
      <c r="A30" s="10" t="s">
        <v>30</v>
      </c>
      <c r="B30" s="11">
        <f>B15-B16</f>
      </c>
    </row>
    <row r="32" ht="22" customHeight="1" spans="1:4" x14ac:dyDescent="0.25">
      <c r="A32" s="3" t="s">
        <v>31</v>
      </c>
      <c r="B32" s="3"/>
      <c r="C32" s="3"/>
      <c r="D32" s="3"/>
    </row>
    <row r="33" ht="24" customHeight="1" spans="1:4" x14ac:dyDescent="0.25">
      <c r="A33" s="13" t="s">
        <v>32</v>
      </c>
      <c r="B33" s="13"/>
      <c r="C33" s="13"/>
      <c r="D33" s="13"/>
    </row>
    <row r="34" ht="20" customHeight="1" spans="1:4" x14ac:dyDescent="0.25">
      <c r="A34" s="14" t="s">
        <v>33</v>
      </c>
      <c r="B34" s="14" t="s">
        <v>34</v>
      </c>
      <c r="C34" s="14" t="s">
        <v>35</v>
      </c>
      <c r="D34" s="14" t="s">
        <v>36</v>
      </c>
    </row>
    <row r="35" spans="1:4" x14ac:dyDescent="0.25">
      <c r="A35" s="15">
        <f>_xlfn.LET(t,_xlfn.SEQUENCE(6,1,0.5,0.5), d,2*_xlfn.NORM.S.DIST(B13*SQRT(t)/2,TRUE)-1, val,100*(1-B25)*(1-d), base,100*(1-B25)*(1-B26), _xlfn.HSTACK(t,d,val,val-base))</f>
      </c>
      <c r="B35" s="16"/>
      <c r="C35" s="17"/>
      <c r="D35" s="17"/>
    </row>
    <row r="36" spans="1:4" x14ac:dyDescent="0.25">
      <c r="A36" s="15"/>
      <c r="B36" s="16"/>
      <c r="C36" s="17"/>
      <c r="D36" s="17"/>
    </row>
    <row r="37" spans="1:4" x14ac:dyDescent="0.25">
      <c r="A37" s="15"/>
      <c r="B37" s="16"/>
      <c r="C37" s="17"/>
      <c r="D37" s="17"/>
    </row>
    <row r="38" spans="1:4" x14ac:dyDescent="0.25">
      <c r="A38" s="15"/>
      <c r="B38" s="16"/>
      <c r="C38" s="17"/>
      <c r="D38" s="17"/>
    </row>
    <row r="39" spans="1:4" x14ac:dyDescent="0.25">
      <c r="A39" s="15"/>
      <c r="B39" s="16"/>
      <c r="C39" s="17"/>
      <c r="D39" s="17"/>
    </row>
    <row r="40" spans="1:4" x14ac:dyDescent="0.25">
      <c r="A40" s="15"/>
      <c r="B40" s="16"/>
      <c r="C40" s="17"/>
      <c r="D40" s="17"/>
    </row>
    <row r="42" ht="22" customHeight="1" spans="1:4" x14ac:dyDescent="0.25">
      <c r="A42" s="3" t="s">
        <v>37</v>
      </c>
      <c r="B42" s="3"/>
      <c r="C42" s="3"/>
      <c r="D42" s="3"/>
    </row>
    <row r="43" ht="24" customHeight="1" spans="1:4" x14ac:dyDescent="0.25">
      <c r="A43" s="13" t="s">
        <v>38</v>
      </c>
      <c r="B43" s="13"/>
      <c r="C43" s="13"/>
      <c r="D43" s="13"/>
    </row>
    <row r="44" ht="20" customHeight="1" spans="1:2" x14ac:dyDescent="0.25">
      <c r="A44" s="14" t="s">
        <v>39</v>
      </c>
      <c r="B44" s="14" t="s">
        <v>40</v>
      </c>
    </row>
    <row r="45" spans="1:2" x14ac:dyDescent="0.25">
      <c r="A45" s="18">
        <f>_xlfn.LET(nom,{"Crecimiento de ventas";"Cambio de margen";"Contribución de caja";"TSR Sintético"}, v,_xlfn.VSTACK(B22,B23,B24,B22+B23+B24), _xlfn.HSTACK(nom,v))</f>
      </c>
      <c r="B45" s="16"/>
    </row>
    <row r="46" spans="1:2" x14ac:dyDescent="0.25">
      <c r="A46" s="18"/>
      <c r="B46" s="16"/>
    </row>
    <row r="47" spans="1:2" x14ac:dyDescent="0.25">
      <c r="A47" s="18"/>
      <c r="B47" s="16"/>
    </row>
    <row r="48" spans="1:2" x14ac:dyDescent="0.25">
      <c r="A48" s="18"/>
      <c r="B48" s="16"/>
    </row>
    <row r="50" ht="22" customHeight="1" spans="1:4" x14ac:dyDescent="0.25">
      <c r="A50" s="3" t="s">
        <v>41</v>
      </c>
      <c r="B50" s="3"/>
      <c r="C50" s="3"/>
      <c r="D50" s="3"/>
    </row>
    <row r="51" ht="34" customHeight="1" spans="1:4" x14ac:dyDescent="0.25">
      <c r="A51" s="19" t="s">
        <v>42</v>
      </c>
      <c r="B51" s="20">
        <f>"El TBR fue de "&amp;TEXT(B21,"0.0%")&amp;": "&amp;TEXT(B19,"0.0%")&amp;" de yield (la caja que liberó el negocio) más "&amp;TEXT(B20,"0.0%")&amp;" de apreciación del valor intrínseco. Contra un costo de capital del dueño de "&amp;TEXT(B16,"0.0%")&amp;", el veredicto es "&amp;IF(B21&gt;B16,"POSITIVO: el patrimonio rindió por encima de su costo de oportunidad.","NEGATIVO: el patrimonio rindió por debajo de lo que exige el propio dueño.")</f>
      </c>
      <c r="C51" s="20"/>
      <c r="D51" s="20"/>
    </row>
    <row r="52" ht="34" customHeight="1" spans="1:4" x14ac:dyDescent="0.25">
      <c r="A52" s="19" t="s">
        <v>43</v>
      </c>
      <c r="B52" s="20">
        <f>"Participación minoritaria: DLOC "&amp;TEXT(B25,"0.0%")&amp;" y DLOM "&amp;TEXT(B26,"0.0%")&amp;" se aplican en secuencia, dando "&amp;TEXT(B28,"0.0%")&amp;" — no "&amp;TEXT(B29,"0.0%")&amp;", que es lo que da sumarlos y sobrecastiga "&amp;TEXT(B29-B28,"0.0%")&amp;" de más."</f>
      </c>
      <c r="C52" s="20"/>
      <c r="D52" s="20"/>
    </row>
    <row r="53" ht="34" customHeight="1" spans="1:4" x14ac:dyDescent="0.25">
      <c r="A53" s="19" t="s">
        <v>44</v>
      </c>
      <c r="B53" s="20">
        <f>"Comprimir el horizonte de salida de "&amp;TEXT(B14,"0")&amp;" a 1 año de forma demostrable baja el DLOM de "&amp;TEXT(B26,"0.0%")&amp;" a "&amp;TEXT(B27,"0.0%")&amp;": un salto de "&amp;TEXT(B26-B27,"0.0%")&amp;" de valor para el socio minoritario, sin vender un peso más."</f>
      </c>
      <c r="C53" s="20"/>
      <c r="D53" s="20"/>
    </row>
    <row r="54" ht="34" customHeight="1" spans="1:4" x14ac:dyDescent="0.25">
      <c r="A54" s="19" t="s">
        <v>45</v>
      </c>
      <c r="B54" s="20">
        <f>IF(B30&gt;0.03,"ROIC muy por encima del WACC (spread "&amp;TEXT(B30,"0.0%")&amp;"): retener y crecer optimiza el TSR Sintético.",IF(B30&gt;0,"Spread apenas positivo ("&amp;TEXT(B30,"0.0%")&amp;"): antes de crecer hay que GANARSE EL DERECHO A CRECER — subir el ROIC por eficiencia de activos y margen, y mientras tanto priorizar distribución.","ROIC por debajo del WACC: distribuir el 100% del FCF y frenar el capex de expansión. Cada peso nuevo destruye valor."))</f>
      </c>
      <c r="C54" s="20"/>
      <c r="D54" s="20"/>
    </row>
    <row r="56" spans="1:4" x14ac:dyDescent="0.25">
      <c r="A56" s="21" t="s">
        <v>46</v>
      </c>
      <c r="B56" s="21"/>
      <c r="C56" s="21"/>
      <c r="D56" s="21"/>
    </row>
  </sheetData>
  <mergeCells count="14">
    <mergeCell ref="A1:D1"/>
    <mergeCell ref="A2:D2"/>
    <mergeCell ref="A4:D4"/>
    <mergeCell ref="A18:D18"/>
    <mergeCell ref="A32:D32"/>
    <mergeCell ref="A33:D33"/>
    <mergeCell ref="A42:D42"/>
    <mergeCell ref="A43:D43"/>
    <mergeCell ref="A50:D50"/>
    <mergeCell ref="B51:D51"/>
    <mergeCell ref="B52:D52"/>
    <mergeCell ref="B53:D53"/>
    <mergeCell ref="B54:D54"/>
    <mergeCell ref="A56:D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A.8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A.8 — TSR Sintético, TBR y descuentos de capital cerrado</dc:title>
  <dc:subject/>
  <dc:description/>
  <cp:keywords/>
  <cp:category/>
  <cp:lastModifiedBy>Unknown</cp:lastModifiedBy>
  <dcterms:created xsi:type="dcterms:W3CDTF">2026-09-05T06:27:00Z</dcterms:created>
  <dcterms:modified xsi:type="dcterms:W3CDTF">2026-09-05T06:27:00Z</dcterms:modified>
</cp:coreProperties>
</file>