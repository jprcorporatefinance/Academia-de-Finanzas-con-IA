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A.9" state="visible" r:id="rId4"/>
  </sheets>
  <calcPr calcId="171027"/>
</workbook>
</file>

<file path=xl/sharedStrings.xml><?xml version="1.0" encoding="utf-8"?>
<sst xmlns="http://schemas.openxmlformats.org/spreadsheetml/2006/main" count="53" uniqueCount="53">
  <si>
    <t>JPR CONSULTING · ASIGNATURA A.9 — Paradoja del crecimiento: FCFF, crecimiento sostenible y DSCR</t>
  </si>
  <si>
    <t>Editá las celdas marfil. El modelo calcula el FCFF que deja cada tasa de crecimiento, identifica el escenario y proyecta el DSCR, con una matriz dinámica que barre el crecimiento y marca dónde se perfora el covenant.</t>
  </si>
  <si>
    <t>1 · DATOS DE ENTRADA  (celdas marfil — editá acá)</t>
  </si>
  <si>
    <t>Ventas actuales</t>
  </si>
  <si>
    <t>miles $</t>
  </si>
  <si>
    <t>NOPAT normalizado</t>
  </si>
  <si>
    <t>EBITDA normalizado</t>
  </si>
  <si>
    <t>ROIC normalizado</t>
  </si>
  <si>
    <t>WACC</t>
  </si>
  <si>
    <t>Crecimiento planificado (g)</t>
  </si>
  <si>
    <t>Ciclo de conversión de efectivo</t>
  </si>
  <si>
    <t>Impuestos en efectivo</t>
  </si>
  <si>
    <t>CapEx de mantenimiento</t>
  </si>
  <si>
    <t>Servicio de deuda anual</t>
  </si>
  <si>
    <t>Covenant de DSCR pactado</t>
  </si>
  <si>
    <t>2 · CÁLCULOS E INDICADORES</t>
  </si>
  <si>
    <t>Tasa de reinversión requerida (IR = g/ROIC)</t>
  </si>
  <si>
    <t>FCFF resultante = NOPAT × (1 − g/ROIC)</t>
  </si>
  <si>
    <t>Escenario (1 moderado · 2 equilibrio · 3 acelerado)</t>
  </si>
  <si>
    <t>Tasa de crecimiento sostenible (g*)</t>
  </si>
  <si>
    <t>g* con la reinversión que la caja operativa realmente permite después de impuestos y mantenimiento.</t>
  </si>
  <si>
    <t>Brecha entre el plan y lo sostenible</t>
  </si>
  <si>
    <t>Capital de trabajo por día de ciclo</t>
  </si>
  <si>
    <t>ΔKTNO que exige el crecimiento</t>
  </si>
  <si>
    <t>Las ventas adicionales quedan inmovilizadas tantos días como dure el ciclo.</t>
  </si>
  <si>
    <t>CFADS proyectado</t>
  </si>
  <si>
    <t>DSCR proyectado</t>
  </si>
  <si>
    <t>Holgura contra el covenant</t>
  </si>
  <si>
    <t>Ciclo máximo que respeta el covenant</t>
  </si>
  <si>
    <t>Despejando el ciclo de la ecuación del DSCR: cuántos días de ciclo tolera el plan sin perforar.</t>
  </si>
  <si>
    <t>3 · Barrido de crecimiento: FCFF, CFADS y DSCR para cada g  (matriz dinámica · una fórmula derrama toda la tabla)</t>
  </si>
  <si>
    <t>SEQUENCE barre el crecimiento del 5 % al 45 %. Toda la tabla derrama de una sola fórmula: se ve de un golpe en qué tasa el FCFF cruza a negativo y en cuál se perfora el covenant — y son dos tasas distintas.</t>
  </si>
  <si>
    <t>g</t>
  </si>
  <si>
    <t>IR</t>
  </si>
  <si>
    <t>FCFF</t>
  </si>
  <si>
    <t>ΔKTNO</t>
  </si>
  <si>
    <t>CFADS</t>
  </si>
  <si>
    <t>DSCR</t>
  </si>
  <si>
    <t>Veredicto</t>
  </si>
  <si>
    <t>4 · DSCR según crecimiento (filas) y ciclo de efectivo (columnas)  (matriz dinámica · una fórmula derrama toda la tabla)</t>
  </si>
  <si>
    <t>La matriz cruza las dos palancas que la dirección sí controla. Muestra el hallazgo central del módulo: acortar el ciclo veinte días compra más margen de maniobra que resignar diez puntos de crecimiento.</t>
  </si>
  <si>
    <t>g \ ciclo</t>
  </si>
  <si>
    <t>25 d</t>
  </si>
  <si>
    <t>35 d</t>
  </si>
  <si>
    <t>45 d</t>
  </si>
  <si>
    <t>55 d</t>
  </si>
  <si>
    <t>65 d</t>
  </si>
  <si>
    <t>5 · CONCLUSIONES AUTOMÁTICAS</t>
  </si>
  <si>
    <t>Diagnóstico de la paradoja</t>
  </si>
  <si>
    <t>Límite sostenible</t>
  </si>
  <si>
    <t>Prueba del covenant</t>
  </si>
  <si>
    <t>La palanca del ciclo</t>
  </si>
  <si>
    <t>JPR Consulting · Maestría en Finanzas Corporativas Aplicadas con IA · UNNE — Asignatura A.9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</si>
</sst>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 &quot;días&quot;"/>
    <numFmt numFmtId="166" formatCode="0.00&quot;x&quot;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33373D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FBFAF7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9" fontId="5" fillId="4" borderId="1" xfId="0" applyNumberFormat="1" applyFont="1" applyFill="1" applyBorder="1"/>
    <xf numFmtId="165" fontId="5" fillId="4" borderId="1" xfId="0" applyNumberFormat="1" applyFont="1" applyFill="1" applyBorder="1"/>
    <xf numFmtId="166" fontId="5" fillId="4" borderId="1" xfId="0" applyNumberFormat="1" applyFont="1" applyFill="1" applyBorder="1"/>
    <xf numFmtId="0" fontId="7" fillId="0" borderId="0" xfId="0" applyFont="1"/>
    <xf numFmtId="9" fontId="8" fillId="5" borderId="1" xfId="0" applyNumberFormat="1" applyFont="1" applyFill="1" applyBorder="1"/>
    <xf numFmtId="3" fontId="8" fillId="5" borderId="1" xfId="0" applyNumberFormat="1" applyFont="1" applyFill="1" applyBorder="1"/>
    <xf numFmtId="3" fontId="9" fillId="6" borderId="0" xfId="0" applyNumberFormat="1" applyFont="1" applyFill="1"/>
    <xf numFmtId="164" fontId="9" fillId="6" borderId="0" xfId="0" applyNumberFormat="1" applyFont="1" applyFill="1"/>
    <xf numFmtId="0" fontId="10" fillId="0" borderId="0" xfId="0" applyFont="1"/>
    <xf numFmtId="164" fontId="8" fillId="5" borderId="1" xfId="0" applyNumberFormat="1" applyFont="1" applyFill="1" applyBorder="1"/>
    <xf numFmtId="166" fontId="8" fillId="5" borderId="1" xfId="0" applyNumberFormat="1" applyFont="1" applyFill="1" applyBorder="1"/>
    <xf numFmtId="165" fontId="9" fillId="6" borderId="0" xfId="0" applyNumberFormat="1" applyFont="1" applyFill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9" fontId="12" fillId="0" borderId="0" xfId="0" applyNumberFormat="1" applyFont="1"/>
    <xf numFmtId="9" fontId="13" fillId="0" borderId="0" xfId="0" applyNumberFormat="1" applyFont="1"/>
    <xf numFmtId="3" fontId="13" fillId="0" borderId="0" xfId="0" applyNumberFormat="1" applyFont="1"/>
    <xf numFmtId="166" fontId="13" fillId="0" borderId="0" xfId="0" applyNumberFormat="1" applyFont="1"/>
    <xf numFmtId="0" fontId="13" fillId="0" borderId="0" xfId="0" applyFont="1"/>
    <xf numFmtId="0" fontId="5" fillId="0" borderId="0" xfId="0" applyFont="1"/>
    <xf numFmtId="0" fontId="14" fillId="5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42000</v>
      </c>
      <c r="C5" s="6" t="s">
        <v>4</v>
      </c>
    </row>
    <row r="6" spans="1:2" x14ac:dyDescent="0.25">
      <c r="A6" s="4" t="s">
        <v>5</v>
      </c>
      <c r="B6" s="5">
        <v>2502.5</v>
      </c>
    </row>
    <row r="7" spans="1:2" x14ac:dyDescent="0.25">
      <c r="A7" s="4" t="s">
        <v>6</v>
      </c>
      <c r="B7" s="5">
        <v>5250</v>
      </c>
    </row>
    <row r="8" spans="1:2" x14ac:dyDescent="0.25">
      <c r="A8" s="4" t="s">
        <v>7</v>
      </c>
      <c r="B8" s="7">
        <v>0.213</v>
      </c>
    </row>
    <row r="9" spans="1:2" x14ac:dyDescent="0.25">
      <c r="A9" s="4" t="s">
        <v>8</v>
      </c>
      <c r="B9" s="7">
        <v>0.2</v>
      </c>
    </row>
    <row r="10" spans="1:2" x14ac:dyDescent="0.25">
      <c r="A10" s="4" t="s">
        <v>9</v>
      </c>
      <c r="B10" s="8">
        <v>0.35</v>
      </c>
    </row>
    <row r="11" spans="1:2" x14ac:dyDescent="0.25">
      <c r="A11" s="4" t="s">
        <v>10</v>
      </c>
      <c r="B11" s="9">
        <v>43</v>
      </c>
    </row>
    <row r="12" spans="1:2" x14ac:dyDescent="0.25">
      <c r="A12" s="4" t="s">
        <v>11</v>
      </c>
      <c r="B12" s="5">
        <v>1180</v>
      </c>
    </row>
    <row r="13" spans="1:2" x14ac:dyDescent="0.25">
      <c r="A13" s="4" t="s">
        <v>12</v>
      </c>
      <c r="B13" s="5">
        <v>850</v>
      </c>
    </row>
    <row r="14" spans="1:2" x14ac:dyDescent="0.25">
      <c r="A14" s="4" t="s">
        <v>13</v>
      </c>
      <c r="B14" s="5">
        <v>2480</v>
      </c>
    </row>
    <row r="15" spans="1:2" x14ac:dyDescent="0.25">
      <c r="A15" s="4" t="s">
        <v>14</v>
      </c>
      <c r="B15" s="10">
        <v>1.25</v>
      </c>
    </row>
    <row r="17" ht="22" customHeight="1" spans="1:4" x14ac:dyDescent="0.25">
      <c r="A17" s="3" t="s">
        <v>15</v>
      </c>
      <c r="B17" s="3"/>
      <c r="C17" s="3"/>
      <c r="D17" s="3"/>
    </row>
    <row r="18" spans="1:2" x14ac:dyDescent="0.25">
      <c r="A18" s="11" t="s">
        <v>16</v>
      </c>
      <c r="B18" s="12">
        <f>B10/B8</f>
      </c>
    </row>
    <row r="19" spans="1:2" x14ac:dyDescent="0.25">
      <c r="A19" s="11" t="s">
        <v>17</v>
      </c>
      <c r="B19" s="13">
        <f>B6*(1-B18)</f>
      </c>
    </row>
    <row r="20" spans="1:2" x14ac:dyDescent="0.25">
      <c r="A20" s="4" t="s">
        <v>18</v>
      </c>
      <c r="B20" s="14">
        <f>IF(B10&lt;B8,1,IF(B10=B8,2,3))</f>
      </c>
    </row>
    <row r="21" spans="1:4" x14ac:dyDescent="0.25">
      <c r="A21" s="4" t="s">
        <v>19</v>
      </c>
      <c r="B21" s="15">
        <f>B8*MIN(1,MAX(0,1-(B13+B12)/B6))</f>
      </c>
      <c r="D21" s="16" t="s">
        <v>20</v>
      </c>
    </row>
    <row r="22" spans="1:2" x14ac:dyDescent="0.25">
      <c r="A22" s="11" t="s">
        <v>21</v>
      </c>
      <c r="B22" s="17">
        <f>B10-B21</f>
      </c>
    </row>
    <row r="23" spans="1:2" x14ac:dyDescent="0.25">
      <c r="A23" s="4" t="s">
        <v>22</v>
      </c>
      <c r="B23" s="14">
        <f>B5/365</f>
      </c>
    </row>
    <row r="24" spans="1:4" x14ac:dyDescent="0.25">
      <c r="A24" s="11" t="s">
        <v>23</v>
      </c>
      <c r="B24" s="13">
        <f>B5*B10/365*B11</f>
      </c>
      <c r="D24" s="16" t="s">
        <v>24</v>
      </c>
    </row>
    <row r="25" spans="1:2" x14ac:dyDescent="0.25">
      <c r="A25" s="11" t="s">
        <v>25</v>
      </c>
      <c r="B25" s="13">
        <f>B7-B12-B24-B13</f>
      </c>
    </row>
    <row r="26" spans="1:2" x14ac:dyDescent="0.25">
      <c r="A26" s="11" t="s">
        <v>26</v>
      </c>
      <c r="B26" s="18">
        <f>B25/B14</f>
      </c>
    </row>
    <row r="27" spans="1:2" x14ac:dyDescent="0.25">
      <c r="A27" s="11" t="s">
        <v>27</v>
      </c>
      <c r="B27" s="18">
        <f>B26-B15</f>
      </c>
    </row>
    <row r="28" spans="1:4" x14ac:dyDescent="0.25">
      <c r="A28" s="4" t="s">
        <v>28</v>
      </c>
      <c r="B28" s="19">
        <f>(B7-B12-B13-B15*B14)/(B5*B10/365)</f>
      </c>
      <c r="D28" s="16" t="s">
        <v>29</v>
      </c>
    </row>
    <row r="30" ht="22" customHeight="1" spans="1:4" x14ac:dyDescent="0.25">
      <c r="A30" s="3" t="s">
        <v>30</v>
      </c>
      <c r="B30" s="3"/>
      <c r="C30" s="3"/>
      <c r="D30" s="3"/>
    </row>
    <row r="31" ht="24" customHeight="1" spans="1:4" x14ac:dyDescent="0.25">
      <c r="A31" s="20" t="s">
        <v>31</v>
      </c>
      <c r="B31" s="20"/>
      <c r="C31" s="20"/>
      <c r="D31" s="20"/>
    </row>
    <row r="32" ht="20" customHeight="1" spans="1:7" x14ac:dyDescent="0.25">
      <c r="A32" s="21" t="s">
        <v>32</v>
      </c>
      <c r="B32" s="21" t="s">
        <v>33</v>
      </c>
      <c r="C32" s="21" t="s">
        <v>34</v>
      </c>
      <c r="D32" s="21" t="s">
        <v>35</v>
      </c>
      <c r="E32" s="21" t="s">
        <v>36</v>
      </c>
      <c r="F32" s="21" t="s">
        <v>37</v>
      </c>
      <c r="G32" s="21" t="s">
        <v>38</v>
      </c>
    </row>
    <row r="33" spans="1:7" x14ac:dyDescent="0.25">
      <c r="A33" s="22">
        <f>_xlfn.LET(gg,_xlfn.SEQUENCE(9,1,0.05,0.05), ir,gg/B8, fc,B6*(1-ir), dk,B5*gg/365*B11, cf,B7-B12-dk-B13, ds,cf/B14, ver,IF(ds&lt;B15,"PERFORA covenant",IF(fc&lt;0,"FCFF negativo","Sostenible")), _xlfn.HSTACK(gg,ir,fc,dk,cf,ds,ver))</f>
      </c>
      <c r="B33" s="23"/>
      <c r="C33" s="24"/>
      <c r="D33" s="24"/>
      <c r="E33" s="24"/>
      <c r="F33" s="25"/>
      <c r="G33" s="26"/>
    </row>
    <row r="34" spans="1:7" x14ac:dyDescent="0.25">
      <c r="A34" s="22"/>
      <c r="B34" s="23"/>
      <c r="C34" s="24"/>
      <c r="D34" s="24"/>
      <c r="E34" s="24"/>
      <c r="F34" s="25"/>
      <c r="G34" s="26"/>
    </row>
    <row r="35" spans="1:7" x14ac:dyDescent="0.25">
      <c r="A35" s="22"/>
      <c r="B35" s="23"/>
      <c r="C35" s="24"/>
      <c r="D35" s="24"/>
      <c r="E35" s="24"/>
      <c r="F35" s="25"/>
      <c r="G35" s="26"/>
    </row>
    <row r="36" spans="1:7" x14ac:dyDescent="0.25">
      <c r="A36" s="22"/>
      <c r="B36" s="23"/>
      <c r="C36" s="24"/>
      <c r="D36" s="24"/>
      <c r="E36" s="24"/>
      <c r="F36" s="25"/>
      <c r="G36" s="26"/>
    </row>
    <row r="37" spans="1:7" x14ac:dyDescent="0.25">
      <c r="A37" s="22"/>
      <c r="B37" s="23"/>
      <c r="C37" s="24"/>
      <c r="D37" s="24"/>
      <c r="E37" s="24"/>
      <c r="F37" s="25"/>
      <c r="G37" s="26"/>
    </row>
    <row r="38" spans="1:7" x14ac:dyDescent="0.25">
      <c r="A38" s="22"/>
      <c r="B38" s="23"/>
      <c r="C38" s="24"/>
      <c r="D38" s="24"/>
      <c r="E38" s="24"/>
      <c r="F38" s="25"/>
      <c r="G38" s="26"/>
    </row>
    <row r="39" spans="1:7" x14ac:dyDescent="0.25">
      <c r="A39" s="22"/>
      <c r="B39" s="23"/>
      <c r="C39" s="24"/>
      <c r="D39" s="24"/>
      <c r="E39" s="24"/>
      <c r="F39" s="25"/>
      <c r="G39" s="26"/>
    </row>
    <row r="40" spans="1:7" x14ac:dyDescent="0.25">
      <c r="A40" s="22"/>
      <c r="B40" s="23"/>
      <c r="C40" s="24"/>
      <c r="D40" s="24"/>
      <c r="E40" s="24"/>
      <c r="F40" s="25"/>
      <c r="G40" s="26"/>
    </row>
    <row r="41" spans="1:7" x14ac:dyDescent="0.25">
      <c r="A41" s="22"/>
      <c r="B41" s="23"/>
      <c r="C41" s="24"/>
      <c r="D41" s="24"/>
      <c r="E41" s="24"/>
      <c r="F41" s="25"/>
      <c r="G41" s="26"/>
    </row>
    <row r="43" ht="22" customHeight="1" spans="1:4" x14ac:dyDescent="0.25">
      <c r="A43" s="3" t="s">
        <v>39</v>
      </c>
      <c r="B43" s="3"/>
      <c r="C43" s="3"/>
      <c r="D43" s="3"/>
    </row>
    <row r="44" ht="24" customHeight="1" spans="1:4" x14ac:dyDescent="0.25">
      <c r="A44" s="20" t="s">
        <v>40</v>
      </c>
      <c r="B44" s="20"/>
      <c r="C44" s="20"/>
      <c r="D44" s="20"/>
    </row>
    <row r="45" ht="20" customHeight="1" spans="1:6" x14ac:dyDescent="0.25">
      <c r="A45" s="21" t="s">
        <v>41</v>
      </c>
      <c r="B45" s="21" t="s">
        <v>42</v>
      </c>
      <c r="C45" s="21" t="s">
        <v>43</v>
      </c>
      <c r="D45" s="21" t="s">
        <v>44</v>
      </c>
      <c r="E45" s="21" t="s">
        <v>45</v>
      </c>
      <c r="F45" s="21" t="s">
        <v>46</v>
      </c>
    </row>
    <row r="46" spans="1:6" x14ac:dyDescent="0.25">
      <c r="A46" s="22">
        <f>_xlfn.LET(gg,_xlfn.VSTACK(0.10,0.20,0.30,0.35,0.45), cc,_xlfn.HSTACK(25,35,45,55,65), cf,B7-B12-B13-(B5*gg/365*cc), ds,cf/B14, _xlfn.HSTACK(gg,ds))</f>
      </c>
      <c r="B46" s="25"/>
      <c r="C46" s="25"/>
      <c r="D46" s="25"/>
      <c r="E46" s="25"/>
      <c r="F46" s="25"/>
    </row>
    <row r="47" spans="1:6" x14ac:dyDescent="0.25">
      <c r="A47" s="22"/>
      <c r="B47" s="25"/>
      <c r="C47" s="25"/>
      <c r="D47" s="25"/>
      <c r="E47" s="25"/>
      <c r="F47" s="25"/>
    </row>
    <row r="48" spans="1:6" x14ac:dyDescent="0.25">
      <c r="A48" s="22"/>
      <c r="B48" s="25"/>
      <c r="C48" s="25"/>
      <c r="D48" s="25"/>
      <c r="E48" s="25"/>
      <c r="F48" s="25"/>
    </row>
    <row r="49" spans="1:6" x14ac:dyDescent="0.25">
      <c r="A49" s="22"/>
      <c r="B49" s="25"/>
      <c r="C49" s="25"/>
      <c r="D49" s="25"/>
      <c r="E49" s="25"/>
      <c r="F49" s="25"/>
    </row>
    <row r="50" spans="1:6" x14ac:dyDescent="0.25">
      <c r="A50" s="22"/>
      <c r="B50" s="25"/>
      <c r="C50" s="25"/>
      <c r="D50" s="25"/>
      <c r="E50" s="25"/>
      <c r="F50" s="25"/>
    </row>
    <row r="52" ht="22" customHeight="1" spans="1:4" x14ac:dyDescent="0.25">
      <c r="A52" s="3" t="s">
        <v>47</v>
      </c>
      <c r="B52" s="3"/>
      <c r="C52" s="3"/>
      <c r="D52" s="3"/>
    </row>
    <row r="53" ht="34" customHeight="1" spans="1:4" x14ac:dyDescent="0.25">
      <c r="A53" s="27" t="s">
        <v>48</v>
      </c>
      <c r="B53" s="28">
        <f>"Crecer al "&amp;TEXT(B10,"0%")&amp;" con un ROIC de "&amp;TEXT(B8,"0.0%")&amp;" exige reinvertir el "&amp;TEXT(B18,"0%")&amp;" del NOPAT y deja un FCFF de "&amp;TEXT(B19,"#,##0")&amp;" miles $. "&amp;IF(B19&lt;0,"Escenario ACELERADO: la expansión exige más que toda la utilidad operativa. El déficit es estructural, no coyuntural.",IF(B19=0,"Escenario de EQUILIBRIO: no sobra ni falta.","Escenario MODERADO: el crecimiento se autofinancia."))</f>
      </c>
      <c r="C53" s="28"/>
      <c r="D53" s="28"/>
    </row>
    <row r="54" ht="34" customHeight="1" spans="1:4" x14ac:dyDescent="0.25">
      <c r="A54" s="27" t="s">
        <v>49</v>
      </c>
      <c r="B54" s="28">
        <f>"La tasa de crecimiento sostenible es "&amp;TEXT(B21,"0.0%")&amp;" contra un plan de "&amp;TEXT(B10,"0%")&amp;": una brecha de "&amp;TEXT(B22,"0.0%")&amp;". Sin subir el ROIC, sin acortar el ciclo y sin fondos externos, ese plan no se puede sostener — no es una opinión, es aritmética."</f>
      </c>
      <c r="C54" s="28"/>
      <c r="D54" s="28"/>
    </row>
    <row r="55" ht="34" customHeight="1" spans="1:4" x14ac:dyDescent="0.25">
      <c r="A55" s="27" t="s">
        <v>50</v>
      </c>
      <c r="B55" s="28">
        <f>IF(B26&lt;B15,"ALERTA: el DSCR proyectado es "&amp;TEXT(B26,"0.00")&amp;"x contra un covenant de "&amp;TEXT(B15,"0.00")&amp;"x. El plan PERFORA el covenant: se activan cash lock-up y cash sweep antes de que la ampliación termine de madurar.","El DSCR proyectado es "&amp;TEXT(B26,"0.00")&amp;"x, con "&amp;TEXT(B27,"0.00")&amp;"x de holgura sobre el covenant.")</f>
      </c>
      <c r="C55" s="28"/>
      <c r="D55" s="28"/>
    </row>
    <row r="56" ht="34" customHeight="1" spans="1:4" x14ac:dyDescent="0.25">
      <c r="A56" s="27" t="s">
        <v>51</v>
      </c>
      <c r="B56" s="28">
        <f>"El ciclo máximo que tolera este plan sin perforar el covenant es de "&amp;TEXT(B28,"0")&amp;" días, contra los "&amp;TEXT(B11,"0")&amp;" actuales: hay que acortar "&amp;TEXT(MAX(0,B11-B28),"0")&amp;" días. Es la palanca más rápida y la única que no cuesta plata."</f>
      </c>
      <c r="C56" s="28"/>
      <c r="D56" s="28"/>
    </row>
    <row r="58" spans="1:4" x14ac:dyDescent="0.25">
      <c r="A58" s="29" t="s">
        <v>52</v>
      </c>
      <c r="B58" s="29"/>
      <c r="C58" s="29"/>
      <c r="D58" s="29"/>
    </row>
  </sheetData>
  <mergeCells count="14">
    <mergeCell ref="A1:D1"/>
    <mergeCell ref="A2:D2"/>
    <mergeCell ref="A4:D4"/>
    <mergeCell ref="A17:D17"/>
    <mergeCell ref="A30:D30"/>
    <mergeCell ref="A31:D31"/>
    <mergeCell ref="A43:D43"/>
    <mergeCell ref="A44:D44"/>
    <mergeCell ref="A52:D52"/>
    <mergeCell ref="B53:D53"/>
    <mergeCell ref="B54:D54"/>
    <mergeCell ref="B55:D55"/>
    <mergeCell ref="B56:D56"/>
    <mergeCell ref="A58:D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A.9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A.9 — Paradoja del crecimiento: FCFF, crecimiento sostenible y DSCR</dc:title>
  <dc:subject/>
  <dc:description/>
  <cp:keywords/>
  <cp:category/>
  <cp:lastModifiedBy>Unknown</cp:lastModifiedBy>
  <dcterms:created xsi:type="dcterms:W3CDTF">2026-09-05T06:27:00Z</dcterms:created>
  <dcterms:modified xsi:type="dcterms:W3CDTF">2026-09-05T06:27:00Z</dcterms:modified>
</cp:coreProperties>
</file>