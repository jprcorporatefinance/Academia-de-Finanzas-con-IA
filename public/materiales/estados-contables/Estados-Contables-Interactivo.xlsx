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" state="visible" r:id="rId4"/>
    <sheet sheetId="2" name="Resultados" state="visible" r:id="rId5"/>
    <sheet sheetId="3" name="Articulacion" state="visible" r:id="rId6"/>
    <sheet sheetId="4" name="Indicadores" state="visible" r:id="rId7"/>
  </sheets>
  <calcPr calcId="171027"/>
</workbook>
</file>

<file path=xl/sharedStrings.xml><?xml version="1.0" encoding="utf-8"?>
<sst xmlns="http://schemas.openxmlformats.org/spreadsheetml/2006/main" count="196" uniqueCount="177">
  <si>
    <t>ESTADO DE SITUACIÓN PATRIMONIAL · Andina Manufacturas S.A. (en miles de USD)</t>
  </si>
  <si>
    <t>Drill-down: usá los botones [+]/[−] del margen izquierdo para abrir o cerrar rubros, subrubros y cuentas. Editá SOLO las celdas amarillas (cuentas).</t>
  </si>
  <si>
    <t>ACTIVO</t>
  </si>
  <si>
    <t xml:space="preserve">  Activo Corriente</t>
  </si>
  <si>
    <t xml:space="preserve">    Caja y Bancos</t>
  </si>
  <si>
    <t xml:space="preserve">        Caja</t>
  </si>
  <si>
    <t xml:space="preserve">        Banco cuenta corriente $</t>
  </si>
  <si>
    <t xml:space="preserve">        Banco cuenta USD</t>
  </si>
  <si>
    <t xml:space="preserve">    Inversiones transitorias</t>
  </si>
  <si>
    <t xml:space="preserve">        Plazo fijo</t>
  </si>
  <si>
    <t xml:space="preserve">    Créditos por ventas</t>
  </si>
  <si>
    <t xml:space="preserve">        Deudores por ventas</t>
  </si>
  <si>
    <t xml:space="preserve">        Documentos a cobrar (mora &gt;120d)</t>
  </si>
  <si>
    <t>Alta probabilidad de incobrabilidad.</t>
  </si>
  <si>
    <t xml:space="preserve">    Otros créditos</t>
  </si>
  <si>
    <t xml:space="preserve">        IVA crédito fiscal</t>
  </si>
  <si>
    <t xml:space="preserve">        Anticipos a proveedores</t>
  </si>
  <si>
    <t xml:space="preserve">        Gastos pagados por adelantado</t>
  </si>
  <si>
    <t xml:space="preserve">    Bienes de cambio (inventarios)</t>
  </si>
  <si>
    <t xml:space="preserve">        Materia prima</t>
  </si>
  <si>
    <t xml:space="preserve">        Productos en proceso</t>
  </si>
  <si>
    <t xml:space="preserve">        Productos terminados</t>
  </si>
  <si>
    <t xml:space="preserve">        Mercadería de lenta rotación</t>
  </si>
  <si>
    <t>Obsoleta: a mercado vale menos.</t>
  </si>
  <si>
    <t xml:space="preserve">  Activo No Corriente</t>
  </si>
  <si>
    <t xml:space="preserve">    Bienes de Uso — Terrenos</t>
  </si>
  <si>
    <t xml:space="preserve">        Terreno planta industrial</t>
  </si>
  <si>
    <t xml:space="preserve">    Bienes de Uso — Edificios</t>
  </si>
  <si>
    <t xml:space="preserve">        Edificio (costo)</t>
  </si>
  <si>
    <t xml:space="preserve">        Amortización acumulada edificio</t>
  </si>
  <si>
    <t xml:space="preserve">    Bienes de Uso — Maquinaria</t>
  </si>
  <si>
    <t xml:space="preserve">        Maquinaria (costo)</t>
  </si>
  <si>
    <t xml:space="preserve">        Amortización acumulada maquinaria</t>
  </si>
  <si>
    <t xml:space="preserve">    Bienes de Uso — Rodados</t>
  </si>
  <si>
    <t xml:space="preserve">        Rodados (costo)</t>
  </si>
  <si>
    <t xml:space="preserve">        Amortización acumulada rodados</t>
  </si>
  <si>
    <t>PASIVO</t>
  </si>
  <si>
    <t xml:space="preserve">  Pasivo Corriente</t>
  </si>
  <si>
    <t xml:space="preserve">    Deudas bancarias corto plazo</t>
  </si>
  <si>
    <t xml:space="preserve">        Descubierto bancario</t>
  </si>
  <si>
    <t>Producto caro (TNA ~85%).</t>
  </si>
  <si>
    <t xml:space="preserve">        Préstamo bancario corto plazo</t>
  </si>
  <si>
    <t xml:space="preserve">    Deudas comerciales</t>
  </si>
  <si>
    <t xml:space="preserve">        Proveedores</t>
  </si>
  <si>
    <t>Financiamiento no oneroso.</t>
  </si>
  <si>
    <t xml:space="preserve">        Cheques diferidos a pagar</t>
  </si>
  <si>
    <t xml:space="preserve">    Cargas fiscales y sociales</t>
  </si>
  <si>
    <t xml:space="preserve">        IVA a pagar</t>
  </si>
  <si>
    <t xml:space="preserve">        Cargas sociales</t>
  </si>
  <si>
    <t xml:space="preserve">        Impuesto a las ganancias a pagar</t>
  </si>
  <si>
    <t xml:space="preserve">  Pasivo No Corriente</t>
  </si>
  <si>
    <t xml:space="preserve">    Deudas bancarias largo plazo</t>
  </si>
  <si>
    <t xml:space="preserve">        Préstamo bancario largo plazo</t>
  </si>
  <si>
    <t xml:space="preserve">    Previsiones</t>
  </si>
  <si>
    <t xml:space="preserve">        Previsión para juicios</t>
  </si>
  <si>
    <t>PATRIMONIO NETO</t>
  </si>
  <si>
    <t xml:space="preserve">  Patrimonio Neto</t>
  </si>
  <si>
    <t xml:space="preserve">    Aportes de los propietarios</t>
  </si>
  <si>
    <t xml:space="preserve">        Capital social</t>
  </si>
  <si>
    <t xml:space="preserve">    Reservas</t>
  </si>
  <si>
    <t xml:space="preserve">        Reserva legal</t>
  </si>
  <si>
    <t xml:space="preserve">    Resultados</t>
  </si>
  <si>
    <t xml:space="preserve">        Resultados no asignados (ejercicios anteriores)</t>
  </si>
  <si>
    <t xml:space="preserve">        Resultado del ejercicio (viene del Estado de Resultados)</t>
  </si>
  <si>
    <t>Articula con el Estado de Resultados.</t>
  </si>
  <si>
    <t>TOTAL ACTIVO</t>
  </si>
  <si>
    <t>TOTAL PASIVO</t>
  </si>
  <si>
    <t>TOTAL PATRIMONIO NETO</t>
  </si>
  <si>
    <t>PASIVO + PATRIMONIO NETO</t>
  </si>
  <si>
    <t>CONTROL: Activo − (Pasivo + PN)</t>
  </si>
  <si>
    <t>ESTADO DE RESULTADOS · Andina Manufacturas S.A. (en miles de USD)</t>
  </si>
  <si>
    <t>Drill-down por línea. Editá las cuentas (amarillo). Los subtotales y los resultados intermedios se calculan solos.</t>
  </si>
  <si>
    <t>Ventas netas</t>
  </si>
  <si>
    <t xml:space="preserve">      Ventas de productos</t>
  </si>
  <si>
    <t xml:space="preserve">      Ventas de servicios</t>
  </si>
  <si>
    <t>Costo de mercadería vendida</t>
  </si>
  <si>
    <t xml:space="preserve">      Materia prima consumida</t>
  </si>
  <si>
    <t xml:space="preserve">      Mano de obra directa</t>
  </si>
  <si>
    <t xml:space="preserve">      Costos indirectos de fabricación</t>
  </si>
  <si>
    <t>RESULTADO BRUTO</t>
  </si>
  <si>
    <t>Gastos de comercialización</t>
  </si>
  <si>
    <t xml:space="preserve">      Comisiones de venta</t>
  </si>
  <si>
    <t xml:space="preserve">      Fletes y distribución</t>
  </si>
  <si>
    <t xml:space="preserve">      Publicidad</t>
  </si>
  <si>
    <t>Gastos de administración</t>
  </si>
  <si>
    <t xml:space="preserve">      Sueldos administración</t>
  </si>
  <si>
    <t xml:space="preserve">      Honorarios profesionales</t>
  </si>
  <si>
    <t xml:space="preserve">      Otros gastos</t>
  </si>
  <si>
    <t>EBITDA</t>
  </si>
  <si>
    <t>Amortizaciones</t>
  </si>
  <si>
    <t xml:space="preserve">      Amortización de bienes de uso</t>
  </si>
  <si>
    <t>EBIT (resultado operativo)</t>
  </si>
  <si>
    <t>Resultados financieros</t>
  </si>
  <si>
    <t xml:space="preserve">      Intereses de préstamos</t>
  </si>
  <si>
    <t xml:space="preserve">      Intereses de descubierto</t>
  </si>
  <si>
    <t xml:space="preserve">      Comisiones bancarias</t>
  </si>
  <si>
    <t>RESULTADO ANTES DE IMPUESTOS</t>
  </si>
  <si>
    <t>Impuesto a las ganancias</t>
  </si>
  <si>
    <t xml:space="preserve">      Impuesto a las ganancias (35%)</t>
  </si>
  <si>
    <t>RESULTADO DEL EJERCICIO</t>
  </si>
  <si>
    <t>ARTICULACIÓN: cómo el Resultado del Ejercicio cierra la PARTIDA DOBLE</t>
  </si>
  <si>
    <t>ESTADO DE RESULTADOS — Resultado del Ejercicio</t>
  </si>
  <si>
    <t>TOTAL ACTIVO (lo que la empresa tiene)</t>
  </si>
  <si>
    <t/>
  </si>
  <si>
    <t>⬇</t>
  </si>
  <si>
    <t>El resultado del ejercicio NO se queda en el Estado de Resultados: se capitaliza.</t>
  </si>
  <si>
    <t>⬅⮕</t>
  </si>
  <si>
    <t>Tiene que ser igual a...</t>
  </si>
  <si>
    <t>PATRIMONIO NETO — incluye el Resultado del Ejercicio</t>
  </si>
  <si>
    <t>PASIVO + PATRIMONIO NETO (cómo se financió)</t>
  </si>
  <si>
    <t>El Patrimonio Neto es una parte del lado derecho del Balance (lo que es de los dueños).</t>
  </si>
  <si>
    <t>INDICADORES — cada caja se vincula (➜) a las magnitudes del Balance y del Estado de Resultados</t>
  </si>
  <si>
    <t>LIQUIDEZ</t>
  </si>
  <si>
    <t>Indicador</t>
  </si>
  <si>
    <t>Valor</t>
  </si>
  <si>
    <t>Cómo se construye (➜ magnitudes vinculadas)</t>
  </si>
  <si>
    <t>Liquidez corriente</t>
  </si>
  <si>
    <t>➜ Activo Corriente ÷ Pasivo Corriente</t>
  </si>
  <si>
    <t>Liquidez ácida (prueba del ácido)</t>
  </si>
  <si>
    <t>➜ (Activo Corriente − Inventarios) ÷ Pasivo Corriente</t>
  </si>
  <si>
    <t>Liquidez de caja</t>
  </si>
  <si>
    <t>➜ (Caja y Bancos + Inversiones) ÷ Pasivo Corriente</t>
  </si>
  <si>
    <t>Capital de trabajo</t>
  </si>
  <si>
    <t>➜ Activo Corriente − Pasivo Corriente</t>
  </si>
  <si>
    <t>SOLVENCIA</t>
  </si>
  <si>
    <t>Endeudamiento (Pasivo/Activo)</t>
  </si>
  <si>
    <t>➜ Pasivo Total ÷ Activo Total</t>
  </si>
  <si>
    <t>Deuda / Patrimonio Neto</t>
  </si>
  <si>
    <t>➜ Pasivo Total ÷ Patrimonio Neto</t>
  </si>
  <si>
    <t>Solvencia (Activo/Pasivo)</t>
  </si>
  <si>
    <t>➜ Activo Total ÷ Pasivo Total</t>
  </si>
  <si>
    <t>Inmovilización del activo</t>
  </si>
  <si>
    <t>➜ Activo No Corriente ÷ Activo Total</t>
  </si>
  <si>
    <t>ECONÓMICOS (rentabilidad)</t>
  </si>
  <si>
    <t>Margen bruto</t>
  </si>
  <si>
    <t>➜ Resultado Bruto ÷ Ventas</t>
  </si>
  <si>
    <t>Margen neto</t>
  </si>
  <si>
    <t>➜ Resultado del Ejercicio ÷ Ventas</t>
  </si>
  <si>
    <t>ROA (rentabilidad del activo)</t>
  </si>
  <si>
    <t>➜ Resultado del Ejercicio ÷ Activo Total</t>
  </si>
  <si>
    <t>ROE (rentabilidad del patrimonio)</t>
  </si>
  <si>
    <t>➜ Resultado del Ejercicio ÷ Patrimonio Neto</t>
  </si>
  <si>
    <t>GESTIÓN (rotaciones)</t>
  </si>
  <si>
    <t>Rotación de cuentas por cobrar</t>
  </si>
  <si>
    <t>➜ Ventas ÷ Créditos por ventas</t>
  </si>
  <si>
    <t>Días de cobranza (DSO)</t>
  </si>
  <si>
    <t>➜ Créditos por ventas ÷ Ventas × 365</t>
  </si>
  <si>
    <t>Rotación de inventario</t>
  </si>
  <si>
    <t>➜ CMV ÷ Inventarios</t>
  </si>
  <si>
    <t>Días de inventario (DIO)</t>
  </si>
  <si>
    <t>➜ Inventarios ÷ CMV × 365</t>
  </si>
  <si>
    <t>Días de pago a proveedores (DPO)</t>
  </si>
  <si>
    <t>➜ Deudas comerciales ÷ CMV × 365</t>
  </si>
  <si>
    <t>Ciclo de conversión de caja</t>
  </si>
  <si>
    <t>➜ DSO + DIO − DPO</t>
  </si>
  <si>
    <t>Rotación del activo</t>
  </si>
  <si>
    <t>➜ Ventas ÷ Activo Total</t>
  </si>
  <si>
    <t>OPERATIVOS (creación de valor)</t>
  </si>
  <si>
    <t>Margen EBIT</t>
  </si>
  <si>
    <t>➜ EBIT ÷ Ventas</t>
  </si>
  <si>
    <t>Margen EBITDA</t>
  </si>
  <si>
    <t>➜ EBITDA ÷ Ventas</t>
  </si>
  <si>
    <t>NOPAT (EBIT × (1 − 35%))</t>
  </si>
  <si>
    <t>➜ EBIT × (1 − tasa de impuesto)</t>
  </si>
  <si>
    <t>Capital invertido</t>
  </si>
  <si>
    <t>➜ (CxC + Inventario − Comerciales) + Activo No Corriente</t>
  </si>
  <si>
    <t>ROIC</t>
  </si>
  <si>
    <t>➜ NOPAT ÷ Capital invertido</t>
  </si>
  <si>
    <t>FINANCIEROS (riesgo de la deuda)</t>
  </si>
  <si>
    <t>Cobertura de intereses</t>
  </si>
  <si>
    <t>➜ EBIT ÷ Intereses (resultados financieros)</t>
  </si>
  <si>
    <t>Intereses sobre EBIT</t>
  </si>
  <si>
    <t>➜ Intereses ÷ EBIT</t>
  </si>
  <si>
    <t>Deuda financiera / EBITDA</t>
  </si>
  <si>
    <t>➜ (Deuda corriente + no corriente − comerciales) ÷ EBITDA  (aprox.)</t>
  </si>
  <si>
    <t>Caja operativa aprox. (EBITDA − CAPEX*)</t>
  </si>
  <si>
    <t>➜ EBITDA − CAPEX del período (440)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</si>
</sst>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(#,##0)"/>
    <numFmt numFmtId="165" formatCode="0.00&quot;x&quot;"/>
    <numFmt numFmtId="166" formatCode="0.0%"/>
    <numFmt numFmtId="167" formatCode="0 &quot;días&quot;"/>
  </numFmts>
  <fonts count="19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2"/>
    </font>
    <font>
      <b/>
      <sz val="11"/>
    </font>
    <font>
      <b/>
      <color rgb="FF1A2740"/>
      <sz val="10"/>
    </font>
    <font>
      <sz val="10"/>
    </font>
    <font>
      <i/>
      <color rgb="FF777777"/>
      <sz val="9"/>
    </font>
    <font>
      <b/>
      <color rgb="FFFFFFFF"/>
      <sz val="11"/>
    </font>
    <font>
      <b/>
      <color rgb="FF0B5132"/>
    </font>
    <font>
      <b/>
      <color rgb="FF1A2740"/>
      <sz val="11"/>
    </font>
    <font>
      <i/>
      <color rgb="FF6B4E00"/>
    </font>
    <font>
      <b/>
      <color rgb="FF0B5132"/>
      <sz val="14"/>
    </font>
    <font>
      <b/>
      <color rgb="FFD4AF37"/>
      <sz val="20"/>
    </font>
    <font>
      <b/>
      <color rgb="FF1A2740"/>
      <sz val="12"/>
    </font>
    <font>
      <b/>
      <color rgb="FFFFFFFF"/>
      <sz val="9"/>
    </font>
    <font>
      <b/>
      <sz val="10"/>
    </font>
    <font>
      <b/>
      <color rgb="FF0B5132"/>
      <sz val="11"/>
    </font>
    <font>
      <color rgb="FF555555"/>
      <sz val="9"/>
    </font>
  </fonts>
  <fills count="10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DCE7F7"/>
      </patternFill>
    </fill>
    <fill>
      <patternFill patternType="solid">
        <fgColor rgb="FFEAF1FB"/>
      </patternFill>
    </fill>
    <fill>
      <patternFill patternType="solid">
        <fgColor rgb="FFFFF3C4"/>
      </patternFill>
    </fill>
    <fill>
      <patternFill patternType="solid">
        <fgColor rgb="FF243453"/>
      </patternFill>
    </fill>
    <fill>
      <patternFill patternType="solid">
        <fgColor rgb="FFE5F6EC"/>
      </patternFill>
    </fill>
    <fill>
      <patternFill patternType="solid">
        <fgColor rgb="FFFBEFD0"/>
      </patternFill>
    </fill>
  </fills>
  <borders count="5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hair"/>
      <bottom style="hair"/>
      <diagonal/>
    </border>
    <border>
      <left style="thin">
        <color rgb="FFBFA12A"/>
      </left>
      <right style="thin">
        <color rgb="FFBFA12A"/>
      </right>
      <top/>
      <bottom/>
      <diagonal/>
    </border>
    <border>
      <left style="medium">
        <color rgb="FFD4AF37"/>
      </left>
      <right style="medium">
        <color rgb="FFD4AF37"/>
      </right>
      <top style="medium">
        <color rgb="FFD4AF37"/>
      </top>
      <bottom style="medium">
        <color rgb="FFD4AF3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164" fontId="4" fillId="4" borderId="0" xfId="0" applyNumberFormat="1" applyFont="1" applyFill="1"/>
    <xf numFmtId="0" fontId="5" fillId="5" borderId="0" xfId="0" applyFont="1" applyFill="1"/>
    <xf numFmtId="164" fontId="5" fillId="5" borderId="0" xfId="0" applyNumberFormat="1" applyFont="1" applyFill="1"/>
    <xf numFmtId="0" fontId="6" fillId="0" borderId="0" xfId="0" applyFont="1"/>
    <xf numFmtId="164" fontId="0" fillId="6" borderId="1" xfId="0" applyNumberFormat="1" applyFill="1" applyBorder="1"/>
    <xf numFmtId="0" fontId="7" fillId="0" borderId="0" xfId="0" applyFont="1"/>
    <xf numFmtId="0" fontId="8" fillId="7" borderId="0" xfId="0" applyFont="1" applyFill="1"/>
    <xf numFmtId="164" fontId="8" fillId="7" borderId="0" xfId="0" applyNumberFormat="1" applyFont="1" applyFill="1"/>
    <xf numFmtId="0" fontId="4" fillId="0" borderId="0" xfId="0" applyFont="1"/>
    <xf numFmtId="164" fontId="0" fillId="0" borderId="0" xfId="0" applyNumberFormat="1"/>
    <xf numFmtId="0" fontId="9" fillId="8" borderId="0" xfId="0" applyFont="1" applyFill="1" applyAlignment="1">
      <alignment indent="1"/>
    </xf>
    <xf numFmtId="0" fontId="4" fillId="5" borderId="0" xfId="0" applyFont="1" applyFill="1"/>
    <xf numFmtId="164" fontId="4" fillId="5" borderId="0" xfId="0" applyNumberFormat="1" applyFont="1" applyFill="1"/>
    <xf numFmtId="164" fontId="0" fillId="6" borderId="2" xfId="0" applyNumberFormat="1" applyFill="1" applyBorder="1"/>
    <xf numFmtId="0" fontId="10" fillId="4" borderId="0" xfId="0" applyFont="1" applyFill="1"/>
    <xf numFmtId="164" fontId="10" fillId="4" borderId="0" xfId="0" applyNumberFormat="1" applyFont="1" applyFill="1"/>
    <xf numFmtId="0" fontId="11" fillId="9" borderId="0" xfId="0" applyFont="1" applyFill="1" applyAlignment="1">
      <alignment indent="1"/>
    </xf>
    <xf numFmtId="0" fontId="10" fillId="9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3" fontId="12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8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9" fillId="8" borderId="0" xfId="0" applyFont="1" applyFill="1" applyAlignment="1">
      <alignment horizontal="center" wrapText="1"/>
    </xf>
    <xf numFmtId="0" fontId="3" fillId="3" borderId="0" xfId="0" applyFont="1" applyFill="1" applyAlignment="1">
      <alignment indent="1"/>
    </xf>
    <xf numFmtId="0" fontId="15" fillId="7" borderId="0" xfId="0" applyFont="1" applyFill="1"/>
    <xf numFmtId="0" fontId="16" fillId="0" borderId="4" xfId="0" applyFont="1" applyBorder="1"/>
    <xf numFmtId="165" fontId="17" fillId="8" borderId="4" xfId="0" applyNumberFormat="1" applyFont="1" applyFill="1" applyBorder="1" applyAlignment="1">
      <alignment horizontal="center"/>
    </xf>
    <xf numFmtId="0" fontId="18" fillId="0" borderId="4" xfId="0" applyFont="1" applyBorder="1" applyAlignment="1">
      <alignment wrapText="1"/>
    </xf>
    <xf numFmtId="3" fontId="17" fillId="8" borderId="4" xfId="0" applyNumberFormat="1" applyFont="1" applyFill="1" applyBorder="1" applyAlignment="1">
      <alignment horizontal="center"/>
    </xf>
    <xf numFmtId="166" fontId="17" fillId="8" borderId="4" xfId="0" applyNumberFormat="1" applyFont="1" applyFill="1" applyBorder="1" applyAlignment="1">
      <alignment horizontal="center"/>
    </xf>
    <xf numFmtId="167" fontId="17" fillId="8" borderId="4" xfId="0" applyNumberFormat="1" applyFont="1" applyFill="1" applyBorder="1" applyAlignment="1">
      <alignment horizontal="center"/>
    </xf>
    <xf numFmtId="0" fontId="11" fillId="9" borderId="0" xfId="0" applyFont="1" applyFill="1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8"/>
  <sheetViews>
    <sheetView workbookViewId="0" showGridLines="0"/>
  </sheetViews>
  <sheetFormatPr defaultRowHeight="15" outlineLevelRow="0" outlineLevelCol="0" x14ac:dyDescent="55"/>
  <cols>
    <col min="1" max="1" width="52" customWidth="1"/>
    <col min="2" max="2" width="16" customWidth="1"/>
    <col min="3" max="3" width="12" customWidth="1"/>
    <col min="4" max="4" width="40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s="4">
        <f>B5+B24</f>
      </c>
    </row>
    <row r="5" hidden="1" spans="1:2" x14ac:dyDescent="0.25" outlineLevel="1" collapsed="1">
      <c r="A5" s="5" t="s">
        <v>3</v>
      </c>
      <c r="B5" s="6">
        <f>B6+B10+B12+B15+B19</f>
      </c>
    </row>
    <row r="6" hidden="1" spans="1:2" x14ac:dyDescent="0.25" outlineLevel="2" collapsed="1">
      <c r="A6" s="7" t="s">
        <v>4</v>
      </c>
      <c r="B6" s="8">
        <f>SUM(B7:B9)</f>
      </c>
    </row>
    <row r="7" hidden="1" spans="1:2" x14ac:dyDescent="0.25" outlineLevel="3" collapsed="1">
      <c r="A7" s="9" t="s">
        <v>5</v>
      </c>
      <c r="B7" s="10">
        <v>40</v>
      </c>
    </row>
    <row r="8" hidden="1" spans="1:2" x14ac:dyDescent="0.25" outlineLevel="3" collapsed="1">
      <c r="A8" s="9" t="s">
        <v>6</v>
      </c>
      <c r="B8" s="10">
        <v>90</v>
      </c>
    </row>
    <row r="9" hidden="1" spans="1:2" x14ac:dyDescent="0.25" outlineLevel="3" collapsed="1">
      <c r="A9" s="9" t="s">
        <v>7</v>
      </c>
      <c r="B9" s="10">
        <v>50</v>
      </c>
    </row>
    <row r="10" hidden="1" spans="1:2" x14ac:dyDescent="0.25" outlineLevel="2" collapsed="1">
      <c r="A10" s="7" t="s">
        <v>8</v>
      </c>
      <c r="B10" s="8">
        <f>SUM(B11:B11)</f>
      </c>
    </row>
    <row r="11" hidden="1" spans="1:2" x14ac:dyDescent="0.25" outlineLevel="3" collapsed="1">
      <c r="A11" s="9" t="s">
        <v>9</v>
      </c>
      <c r="B11" s="10">
        <v>60</v>
      </c>
    </row>
    <row r="12" hidden="1" spans="1:2" x14ac:dyDescent="0.25" outlineLevel="2" collapsed="1">
      <c r="A12" s="7" t="s">
        <v>10</v>
      </c>
      <c r="B12" s="8">
        <f>SUM(B13:B14)</f>
      </c>
    </row>
    <row r="13" hidden="1" spans="1:2" x14ac:dyDescent="0.25" outlineLevel="3" collapsed="1">
      <c r="A13" s="9" t="s">
        <v>11</v>
      </c>
      <c r="B13" s="10">
        <v>1560</v>
      </c>
    </row>
    <row r="14" hidden="1" spans="1:4" x14ac:dyDescent="0.25" outlineLevel="3" collapsed="1">
      <c r="A14" s="9" t="s">
        <v>12</v>
      </c>
      <c r="B14" s="10">
        <v>290</v>
      </c>
      <c r="D14" s="11" t="s">
        <v>13</v>
      </c>
    </row>
    <row r="15" hidden="1" spans="1:2" x14ac:dyDescent="0.25" outlineLevel="2" collapsed="1">
      <c r="A15" s="7" t="s">
        <v>14</v>
      </c>
      <c r="B15" s="8">
        <f>SUM(B16:B18)</f>
      </c>
    </row>
    <row r="16" hidden="1" spans="1:2" x14ac:dyDescent="0.25" outlineLevel="3" collapsed="1">
      <c r="A16" s="9" t="s">
        <v>15</v>
      </c>
      <c r="B16" s="10">
        <v>180</v>
      </c>
    </row>
    <row r="17" hidden="1" spans="1:2" x14ac:dyDescent="0.25" outlineLevel="3" collapsed="1">
      <c r="A17" s="9" t="s">
        <v>16</v>
      </c>
      <c r="B17" s="10">
        <v>90</v>
      </c>
    </row>
    <row r="18" hidden="1" spans="1:2" x14ac:dyDescent="0.25" outlineLevel="3" collapsed="1">
      <c r="A18" s="9" t="s">
        <v>17</v>
      </c>
      <c r="B18" s="10">
        <v>50</v>
      </c>
    </row>
    <row r="19" hidden="1" spans="1:2" x14ac:dyDescent="0.25" outlineLevel="2" collapsed="1">
      <c r="A19" s="7" t="s">
        <v>18</v>
      </c>
      <c r="B19" s="8">
        <f>SUM(B20:B23)</f>
      </c>
    </row>
    <row r="20" hidden="1" spans="1:2" x14ac:dyDescent="0.25" outlineLevel="3" collapsed="1">
      <c r="A20" s="9" t="s">
        <v>19</v>
      </c>
      <c r="B20" s="10">
        <v>700</v>
      </c>
    </row>
    <row r="21" hidden="1" spans="1:2" x14ac:dyDescent="0.25" outlineLevel="3" collapsed="1">
      <c r="A21" s="9" t="s">
        <v>20</v>
      </c>
      <c r="B21" s="10">
        <v>480</v>
      </c>
    </row>
    <row r="22" hidden="1" spans="1:2" x14ac:dyDescent="0.25" outlineLevel="3" collapsed="1">
      <c r="A22" s="9" t="s">
        <v>21</v>
      </c>
      <c r="B22" s="10">
        <v>800</v>
      </c>
    </row>
    <row r="23" hidden="1" spans="1:4" x14ac:dyDescent="0.25" outlineLevel="3" collapsed="1">
      <c r="A23" s="9" t="s">
        <v>22</v>
      </c>
      <c r="B23" s="10">
        <v>420</v>
      </c>
      <c r="D23" s="11" t="s">
        <v>23</v>
      </c>
    </row>
    <row r="24" hidden="1" spans="1:2" x14ac:dyDescent="0.25" outlineLevel="1" collapsed="1">
      <c r="A24" s="5" t="s">
        <v>24</v>
      </c>
      <c r="B24" s="6">
        <f>B25+B27+B30+B33</f>
      </c>
    </row>
    <row r="25" hidden="1" spans="1:2" x14ac:dyDescent="0.25" outlineLevel="2" collapsed="1">
      <c r="A25" s="7" t="s">
        <v>25</v>
      </c>
      <c r="B25" s="8">
        <f>SUM(B26:B26)</f>
      </c>
    </row>
    <row r="26" hidden="1" spans="1:2" x14ac:dyDescent="0.25" outlineLevel="3" collapsed="1">
      <c r="A26" s="9" t="s">
        <v>26</v>
      </c>
      <c r="B26" s="10">
        <v>350</v>
      </c>
    </row>
    <row r="27" hidden="1" spans="1:2" x14ac:dyDescent="0.25" outlineLevel="2" collapsed="1">
      <c r="A27" s="7" t="s">
        <v>27</v>
      </c>
      <c r="B27" s="8">
        <f>SUM(B28:B29)</f>
      </c>
    </row>
    <row r="28" hidden="1" spans="1:2" x14ac:dyDescent="0.25" outlineLevel="3" collapsed="1">
      <c r="A28" s="9" t="s">
        <v>28</v>
      </c>
      <c r="B28" s="10">
        <v>800</v>
      </c>
    </row>
    <row r="29" hidden="1" spans="1:2" x14ac:dyDescent="0.25" outlineLevel="3" collapsed="1">
      <c r="A29" s="9" t="s">
        <v>29</v>
      </c>
      <c r="B29" s="10">
        <v>-180</v>
      </c>
    </row>
    <row r="30" hidden="1" spans="1:2" x14ac:dyDescent="0.25" outlineLevel="2" collapsed="1">
      <c r="A30" s="7" t="s">
        <v>30</v>
      </c>
      <c r="B30" s="8">
        <f>SUM(B31:B32)</f>
      </c>
    </row>
    <row r="31" hidden="1" spans="1:2" x14ac:dyDescent="0.25" outlineLevel="3" collapsed="1">
      <c r="A31" s="9" t="s">
        <v>31</v>
      </c>
      <c r="B31" s="10">
        <v>2100</v>
      </c>
    </row>
    <row r="32" hidden="1" spans="1:2" x14ac:dyDescent="0.25" outlineLevel="3" collapsed="1">
      <c r="A32" s="9" t="s">
        <v>32</v>
      </c>
      <c r="B32" s="10">
        <v>-650</v>
      </c>
    </row>
    <row r="33" hidden="1" spans="1:2" x14ac:dyDescent="0.25" outlineLevel="2" collapsed="1">
      <c r="A33" s="7" t="s">
        <v>33</v>
      </c>
      <c r="B33" s="8">
        <f>SUM(B34:B35)</f>
      </c>
    </row>
    <row r="34" hidden="1" spans="1:2" x14ac:dyDescent="0.25" outlineLevel="3" collapsed="1">
      <c r="A34" s="9" t="s">
        <v>34</v>
      </c>
      <c r="B34" s="10">
        <v>260</v>
      </c>
    </row>
    <row r="35" hidden="1" spans="1:2" x14ac:dyDescent="0.25" outlineLevel="3" collapsed="1">
      <c r="A35" s="9" t="s">
        <v>35</v>
      </c>
      <c r="B35" s="10">
        <v>-120</v>
      </c>
    </row>
    <row r="36" spans="1:2" x14ac:dyDescent="0.25">
      <c r="A36" s="3" t="s">
        <v>36</v>
      </c>
      <c r="B36" s="4">
        <f>B37+B48</f>
      </c>
    </row>
    <row r="37" hidden="1" spans="1:2" x14ac:dyDescent="0.25" outlineLevel="1" collapsed="1">
      <c r="A37" s="5" t="s">
        <v>37</v>
      </c>
      <c r="B37" s="6">
        <f>B38+B41+B44</f>
      </c>
    </row>
    <row r="38" hidden="1" spans="1:2" x14ac:dyDescent="0.25" outlineLevel="2" collapsed="1">
      <c r="A38" s="7" t="s">
        <v>38</v>
      </c>
      <c r="B38" s="8">
        <f>SUM(B39:B40)</f>
      </c>
    </row>
    <row r="39" hidden="1" spans="1:4" x14ac:dyDescent="0.25" outlineLevel="3" collapsed="1">
      <c r="A39" s="9" t="s">
        <v>39</v>
      </c>
      <c r="B39" s="10">
        <v>540</v>
      </c>
      <c r="D39" s="11" t="s">
        <v>40</v>
      </c>
    </row>
    <row r="40" hidden="1" spans="1:2" x14ac:dyDescent="0.25" outlineLevel="3" collapsed="1">
      <c r="A40" s="9" t="s">
        <v>41</v>
      </c>
      <c r="B40" s="10">
        <v>620</v>
      </c>
    </row>
    <row r="41" hidden="1" spans="1:2" x14ac:dyDescent="0.25" outlineLevel="2" collapsed="1">
      <c r="A41" s="7" t="s">
        <v>42</v>
      </c>
      <c r="B41" s="8">
        <f>SUM(B42:B43)</f>
      </c>
    </row>
    <row r="42" hidden="1" spans="1:4" x14ac:dyDescent="0.25" outlineLevel="3" collapsed="1">
      <c r="A42" s="9" t="s">
        <v>43</v>
      </c>
      <c r="B42" s="10">
        <v>1280</v>
      </c>
      <c r="D42" s="11" t="s">
        <v>44</v>
      </c>
    </row>
    <row r="43" hidden="1" spans="1:2" x14ac:dyDescent="0.25" outlineLevel="3" collapsed="1">
      <c r="A43" s="9" t="s">
        <v>45</v>
      </c>
      <c r="B43" s="10">
        <v>430</v>
      </c>
    </row>
    <row r="44" hidden="1" spans="1:2" x14ac:dyDescent="0.25" outlineLevel="2" collapsed="1">
      <c r="A44" s="7" t="s">
        <v>46</v>
      </c>
      <c r="B44" s="8">
        <f>SUM(B45:B47)</f>
      </c>
    </row>
    <row r="45" hidden="1" spans="1:2" x14ac:dyDescent="0.25" outlineLevel="3" collapsed="1">
      <c r="A45" s="9" t="s">
        <v>47</v>
      </c>
      <c r="B45" s="10">
        <v>150</v>
      </c>
    </row>
    <row r="46" hidden="1" spans="1:2" x14ac:dyDescent="0.25" outlineLevel="3" collapsed="1">
      <c r="A46" s="9" t="s">
        <v>48</v>
      </c>
      <c r="B46" s="10">
        <v>130</v>
      </c>
    </row>
    <row r="47" hidden="1" spans="1:2" x14ac:dyDescent="0.25" outlineLevel="3" collapsed="1">
      <c r="A47" s="9" t="s">
        <v>49</v>
      </c>
      <c r="B47" s="10">
        <v>100</v>
      </c>
    </row>
    <row r="48" hidden="1" spans="1:2" x14ac:dyDescent="0.25" outlineLevel="1" collapsed="1">
      <c r="A48" s="5" t="s">
        <v>50</v>
      </c>
      <c r="B48" s="6">
        <f>B49+B51</f>
      </c>
    </row>
    <row r="49" hidden="1" spans="1:2" x14ac:dyDescent="0.25" outlineLevel="2" collapsed="1">
      <c r="A49" s="7" t="s">
        <v>51</v>
      </c>
      <c r="B49" s="8">
        <f>SUM(B50:B50)</f>
      </c>
    </row>
    <row r="50" hidden="1" spans="1:2" x14ac:dyDescent="0.25" outlineLevel="3" collapsed="1">
      <c r="A50" s="9" t="s">
        <v>52</v>
      </c>
      <c r="B50" s="10">
        <v>980</v>
      </c>
    </row>
    <row r="51" hidden="1" spans="1:2" x14ac:dyDescent="0.25" outlineLevel="2" collapsed="1">
      <c r="A51" s="7" t="s">
        <v>53</v>
      </c>
      <c r="B51" s="8">
        <f>SUM(B52:B52)</f>
      </c>
    </row>
    <row r="52" hidden="1" spans="1:2" x14ac:dyDescent="0.25" outlineLevel="3" collapsed="1">
      <c r="A52" s="9" t="s">
        <v>54</v>
      </c>
      <c r="B52" s="10">
        <v>90</v>
      </c>
    </row>
    <row r="53" spans="1:2" x14ac:dyDescent="0.25">
      <c r="A53" s="3" t="s">
        <v>55</v>
      </c>
      <c r="B53" s="4">
        <f>B54</f>
      </c>
    </row>
    <row r="54" hidden="1" spans="1:2" x14ac:dyDescent="0.25" outlineLevel="1" collapsed="1">
      <c r="A54" s="5" t="s">
        <v>56</v>
      </c>
      <c r="B54" s="6">
        <f>B55+B57+B59</f>
      </c>
    </row>
    <row r="55" hidden="1" spans="1:2" x14ac:dyDescent="0.25" outlineLevel="2" collapsed="1">
      <c r="A55" s="7" t="s">
        <v>57</v>
      </c>
      <c r="B55" s="8">
        <f>SUM(B56:B56)</f>
      </c>
    </row>
    <row r="56" hidden="1" spans="1:2" x14ac:dyDescent="0.25" outlineLevel="3" collapsed="1">
      <c r="A56" s="9" t="s">
        <v>58</v>
      </c>
      <c r="B56" s="10">
        <v>600</v>
      </c>
    </row>
    <row r="57" hidden="1" spans="1:2" x14ac:dyDescent="0.25" outlineLevel="2" collapsed="1">
      <c r="A57" s="7" t="s">
        <v>59</v>
      </c>
      <c r="B57" s="8">
        <f>SUM(B58:B58)</f>
      </c>
    </row>
    <row r="58" hidden="1" spans="1:2" x14ac:dyDescent="0.25" outlineLevel="3" collapsed="1">
      <c r="A58" s="9" t="s">
        <v>60</v>
      </c>
      <c r="B58" s="10">
        <v>320</v>
      </c>
    </row>
    <row r="59" hidden="1" spans="1:2" x14ac:dyDescent="0.25" outlineLevel="2" collapsed="1">
      <c r="A59" s="7" t="s">
        <v>61</v>
      </c>
      <c r="B59" s="8">
        <f>SUM(B60:B61)</f>
      </c>
    </row>
    <row r="60" hidden="1" spans="1:2" x14ac:dyDescent="0.25" outlineLevel="3" collapsed="1">
      <c r="A60" s="9" t="s">
        <v>62</v>
      </c>
      <c r="B60" s="10">
        <v>1955</v>
      </c>
    </row>
    <row r="61" hidden="1" spans="1:4" x14ac:dyDescent="0.25" outlineLevel="3" collapsed="1">
      <c r="A61" s="9" t="s">
        <v>63</v>
      </c>
      <c r="B61" s="10">
        <v>175</v>
      </c>
      <c r="D61" s="11" t="s">
        <v>64</v>
      </c>
    </row>
    <row r="63" spans="1:2" x14ac:dyDescent="0.25">
      <c r="A63" s="12" t="s">
        <v>65</v>
      </c>
      <c r="B63" s="13">
        <f>B4</f>
      </c>
    </row>
    <row r="64" spans="1:2" x14ac:dyDescent="0.25">
      <c r="A64" s="12" t="s">
        <v>66</v>
      </c>
      <c r="B64" s="13">
        <f>B36</f>
      </c>
    </row>
    <row r="65" spans="1:2" x14ac:dyDescent="0.25">
      <c r="A65" s="12" t="s">
        <v>67</v>
      </c>
      <c r="B65" s="13">
        <f>B53</f>
      </c>
    </row>
    <row r="66" spans="1:2" x14ac:dyDescent="0.25">
      <c r="A66" s="12" t="s">
        <v>68</v>
      </c>
      <c r="B66" s="13">
        <f>B36+B53</f>
      </c>
    </row>
    <row r="67" spans="1:2" x14ac:dyDescent="0.25">
      <c r="A67" s="14" t="s">
        <v>69</v>
      </c>
      <c r="B67" s="15">
        <f>B4-(B36+B53)</f>
      </c>
    </row>
    <row r="68" spans="1:4" x14ac:dyDescent="0.25">
      <c r="A68" s="16">
        <f>IF(ABS(B67)&lt;1,"✔ PARTIDA DOBLE OK: el Activo iguala a Pasivo + Patrimonio Neto.","✖ NO CIERRA: revisá las cuentas.")</f>
      </c>
      <c r="B68" s="16"/>
      <c r="C68" s="16"/>
      <c r="D68" s="16"/>
    </row>
  </sheetData>
  <mergeCells count="3">
    <mergeCell ref="A1:D1"/>
    <mergeCell ref="A2:D2"/>
    <mergeCell ref="A68:D6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 showGridLines="0"/>
  </sheetViews>
  <sheetFormatPr defaultRowHeight="15" outlineLevelRow="0" outlineLevelCol="0" x14ac:dyDescent="55"/>
  <cols>
    <col min="1" max="1" width="52" customWidth="1"/>
    <col min="2" max="2" width="16" customWidth="1"/>
    <col min="3" max="3" width="12" customWidth="1"/>
    <col min="4" max="4" width="40" customWidth="1"/>
  </cols>
  <sheetData>
    <row r="1" ht="26" customHeight="1" spans="1:4" x14ac:dyDescent="0.25">
      <c r="A1" s="1" t="s">
        <v>70</v>
      </c>
      <c r="B1" s="1"/>
      <c r="C1" s="1"/>
      <c r="D1" s="1"/>
    </row>
    <row r="2" spans="1:4" x14ac:dyDescent="0.25">
      <c r="A2" s="2" t="s">
        <v>71</v>
      </c>
      <c r="B2" s="2"/>
      <c r="C2" s="2"/>
      <c r="D2" s="2"/>
    </row>
    <row r="4" spans="1:2" x14ac:dyDescent="0.25">
      <c r="A4" s="17" t="s">
        <v>72</v>
      </c>
      <c r="B4" s="18">
        <f>SUM(B5:B6)</f>
      </c>
    </row>
    <row r="5" hidden="1" spans="1:2" x14ac:dyDescent="0.25" outlineLevel="1" collapsed="1">
      <c r="A5" s="9" t="s">
        <v>73</v>
      </c>
      <c r="B5" s="19">
        <v>8000</v>
      </c>
    </row>
    <row r="6" hidden="1" spans="1:2" x14ac:dyDescent="0.25" outlineLevel="1" collapsed="1">
      <c r="A6" s="9" t="s">
        <v>74</v>
      </c>
      <c r="B6" s="19">
        <v>200</v>
      </c>
    </row>
    <row r="7" spans="1:2" x14ac:dyDescent="0.25">
      <c r="A7" s="17" t="s">
        <v>75</v>
      </c>
      <c r="B7" s="18">
        <f>SUM(B8:B10)</f>
      </c>
    </row>
    <row r="8" hidden="1" spans="1:2" x14ac:dyDescent="0.25" outlineLevel="1" collapsed="1">
      <c r="A8" s="9" t="s">
        <v>76</v>
      </c>
      <c r="B8" s="19">
        <v>-3200</v>
      </c>
    </row>
    <row r="9" hidden="1" spans="1:2" x14ac:dyDescent="0.25" outlineLevel="1" collapsed="1">
      <c r="A9" s="9" t="s">
        <v>77</v>
      </c>
      <c r="B9" s="19">
        <v>-1600</v>
      </c>
    </row>
    <row r="10" hidden="1" spans="1:2" x14ac:dyDescent="0.25" outlineLevel="1" collapsed="1">
      <c r="A10" s="9" t="s">
        <v>78</v>
      </c>
      <c r="B10" s="19">
        <v>-940</v>
      </c>
    </row>
    <row r="11" spans="1:2" x14ac:dyDescent="0.25">
      <c r="A11" s="20" t="s">
        <v>79</v>
      </c>
      <c r="B11" s="21">
        <f>B4+B7</f>
      </c>
    </row>
    <row r="12" spans="1:2" x14ac:dyDescent="0.25">
      <c r="A12" s="17" t="s">
        <v>80</v>
      </c>
      <c r="B12" s="18">
        <f>SUM(B13:B15)</f>
      </c>
    </row>
    <row r="13" hidden="1" spans="1:2" x14ac:dyDescent="0.25" outlineLevel="1" collapsed="1">
      <c r="A13" s="9" t="s">
        <v>81</v>
      </c>
      <c r="B13" s="19">
        <v>-300</v>
      </c>
    </row>
    <row r="14" hidden="1" spans="1:2" x14ac:dyDescent="0.25" outlineLevel="1" collapsed="1">
      <c r="A14" s="9" t="s">
        <v>82</v>
      </c>
      <c r="B14" s="19">
        <v>-200</v>
      </c>
    </row>
    <row r="15" hidden="1" spans="1:2" x14ac:dyDescent="0.25" outlineLevel="1" collapsed="1">
      <c r="A15" s="9" t="s">
        <v>83</v>
      </c>
      <c r="B15" s="19">
        <v>-300</v>
      </c>
    </row>
    <row r="16" spans="1:2" x14ac:dyDescent="0.25">
      <c r="A16" s="17" t="s">
        <v>84</v>
      </c>
      <c r="B16" s="18">
        <f>SUM(B17:B19)</f>
      </c>
    </row>
    <row r="17" hidden="1" spans="1:2" x14ac:dyDescent="0.25" outlineLevel="1" collapsed="1">
      <c r="A17" s="9" t="s">
        <v>85</v>
      </c>
      <c r="B17" s="19">
        <v>-300</v>
      </c>
    </row>
    <row r="18" hidden="1" spans="1:2" x14ac:dyDescent="0.25" outlineLevel="1" collapsed="1">
      <c r="A18" s="9" t="s">
        <v>86</v>
      </c>
      <c r="B18" s="19">
        <v>-140</v>
      </c>
    </row>
    <row r="19" hidden="1" spans="1:2" x14ac:dyDescent="0.25" outlineLevel="1" collapsed="1">
      <c r="A19" s="9" t="s">
        <v>87</v>
      </c>
      <c r="B19" s="19">
        <v>-100</v>
      </c>
    </row>
    <row r="20" spans="1:2" x14ac:dyDescent="0.25">
      <c r="A20" s="12" t="s">
        <v>88</v>
      </c>
      <c r="B20" s="13">
        <f>B11+B12+B16</f>
      </c>
    </row>
    <row r="21" spans="1:2" x14ac:dyDescent="0.25">
      <c r="A21" s="17" t="s">
        <v>89</v>
      </c>
      <c r="B21" s="18">
        <f>SUM(B22:B22)</f>
      </c>
    </row>
    <row r="22" hidden="1" spans="1:2" x14ac:dyDescent="0.25" outlineLevel="1" collapsed="1">
      <c r="A22" s="9" t="s">
        <v>90</v>
      </c>
      <c r="B22" s="19">
        <v>-290</v>
      </c>
    </row>
    <row r="23" spans="1:2" x14ac:dyDescent="0.25">
      <c r="A23" s="12" t="s">
        <v>91</v>
      </c>
      <c r="B23" s="13">
        <f>B20+B21</f>
      </c>
    </row>
    <row r="24" spans="1:2" x14ac:dyDescent="0.25">
      <c r="A24" s="17" t="s">
        <v>92</v>
      </c>
      <c r="B24" s="18">
        <f>SUM(B25:B27)</f>
      </c>
    </row>
    <row r="25" hidden="1" spans="1:2" x14ac:dyDescent="0.25" outlineLevel="1" collapsed="1">
      <c r="A25" s="9" t="s">
        <v>93</v>
      </c>
      <c r="B25" s="19">
        <v>-300</v>
      </c>
    </row>
    <row r="26" hidden="1" spans="1:2" x14ac:dyDescent="0.25" outlineLevel="1" collapsed="1">
      <c r="A26" s="9" t="s">
        <v>94</v>
      </c>
      <c r="B26" s="19">
        <v>-200</v>
      </c>
    </row>
    <row r="27" hidden="1" spans="1:2" x14ac:dyDescent="0.25" outlineLevel="1" collapsed="1">
      <c r="A27" s="9" t="s">
        <v>95</v>
      </c>
      <c r="B27" s="19">
        <v>-60</v>
      </c>
    </row>
    <row r="28" spans="1:2" x14ac:dyDescent="0.25">
      <c r="A28" s="20" t="s">
        <v>96</v>
      </c>
      <c r="B28" s="21">
        <f>B23+B24</f>
      </c>
    </row>
    <row r="29" spans="1:2" x14ac:dyDescent="0.25">
      <c r="A29" s="17" t="s">
        <v>97</v>
      </c>
      <c r="B29" s="18">
        <f>SUM(B30:B30)</f>
      </c>
    </row>
    <row r="30" hidden="1" spans="1:2" x14ac:dyDescent="0.25" outlineLevel="1" collapsed="1">
      <c r="A30" s="9" t="s">
        <v>98</v>
      </c>
      <c r="B30" s="19">
        <v>-95</v>
      </c>
    </row>
    <row r="31" spans="1:2" x14ac:dyDescent="0.25">
      <c r="A31" s="12" t="s">
        <v>99</v>
      </c>
      <c r="B31" s="13">
        <f>B28+B29</f>
      </c>
    </row>
    <row r="33" spans="1:4" x14ac:dyDescent="0.25">
      <c r="A33" s="22">
        <f>"El RESULTADO DEL EJERCICIO ("&amp;TEXT(B31,"#,##0")&amp;" k) se traslada al Patrimonio Neto del Balance. Ver la hoja Articulacion."</f>
      </c>
      <c r="B33" s="22"/>
      <c r="C33" s="22"/>
      <c r="D33" s="22"/>
    </row>
  </sheetData>
  <mergeCells count="3">
    <mergeCell ref="A1:D1"/>
    <mergeCell ref="A2:D2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4" width="8" customWidth="1"/>
    <col min="5" max="5" width="30" customWidth="1"/>
    <col min="6" max="6" width="16" customWidth="1"/>
  </cols>
  <sheetData>
    <row r="1" ht="26" customHeight="1" spans="1:6" x14ac:dyDescent="0.25">
      <c r="A1" s="1" t="s">
        <v>100</v>
      </c>
      <c r="B1" s="1"/>
      <c r="C1" s="1"/>
      <c r="D1" s="1"/>
      <c r="E1" s="1"/>
      <c r="F1" s="1"/>
    </row>
    <row r="3" spans="2:6" x14ac:dyDescent="0.25">
      <c r="B3" s="23" t="s">
        <v>101</v>
      </c>
      <c r="C3" s="23"/>
      <c r="E3" s="24" t="s">
        <v>102</v>
      </c>
      <c r="F3" s="24"/>
    </row>
    <row r="4" spans="2:6" x14ac:dyDescent="0.25">
      <c r="B4" s="25" t="s">
        <v>103</v>
      </c>
      <c r="C4" s="26">
        <f>Resultados!B31</f>
      </c>
      <c r="E4" s="25" t="s">
        <v>103</v>
      </c>
      <c r="F4" s="26">
        <f>Balance!B4</f>
      </c>
    </row>
    <row r="6" spans="2:7" x14ac:dyDescent="0.25">
      <c r="B6" s="27" t="s">
        <v>104</v>
      </c>
      <c r="C6" s="2" t="s">
        <v>105</v>
      </c>
      <c r="D6" s="2"/>
      <c r="E6" s="27" t="s">
        <v>106</v>
      </c>
      <c r="F6" s="2" t="s">
        <v>107</v>
      </c>
      <c r="G6" s="2"/>
    </row>
    <row r="8" spans="2:6" x14ac:dyDescent="0.25">
      <c r="B8" s="28" t="s">
        <v>108</v>
      </c>
      <c r="C8" s="28"/>
      <c r="E8" s="24" t="s">
        <v>109</v>
      </c>
      <c r="F8" s="24"/>
    </row>
    <row r="9" spans="2:6" x14ac:dyDescent="0.25">
      <c r="B9" s="25" t="s">
        <v>103</v>
      </c>
      <c r="C9" s="26">
        <f>Balance!B54</f>
      </c>
      <c r="E9" s="25" t="s">
        <v>103</v>
      </c>
      <c r="F9" s="26">
        <f>Balance!B36+Balance!B53</f>
      </c>
    </row>
    <row r="11" spans="2:4" x14ac:dyDescent="0.25">
      <c r="B11" s="27" t="s">
        <v>104</v>
      </c>
      <c r="C11" s="2" t="s">
        <v>110</v>
      </c>
      <c r="D11" s="2"/>
    </row>
    <row r="13" spans="2:6" x14ac:dyDescent="0.25">
      <c r="B13" s="29">
        <f>"ACTIVO ("&amp;TEXT(Balance!B4,"#,##0")&amp;")  =  PASIVO ("&amp;TEXT(Balance!B36,"#,##0")&amp;")  +  PATRIMONIO NETO ("&amp;TEXT(Balance!B53,"#,##0")&amp;")"</f>
      </c>
      <c r="C13" s="29"/>
      <c r="D13" s="29"/>
      <c r="E13" s="29"/>
      <c r="F13" s="29"/>
    </row>
    <row r="15" ht="32" customHeight="1" spans="2:6" x14ac:dyDescent="0.25">
      <c r="B15" s="30">
        <f>IF(ABS(Balance!B67)&lt;1,"✔ La partida doble CIERRA. Cada peso del activo esta financiado por terceros (pasivo) o por los duenos (patrimonio neto), y el resultado del ejercicio aumenta el patrimonio.","✖ Hay un descalce de "&amp;TEXT(Balance!B67,"#,##0")&amp;" k: alguna cuenta no fue registrada por partida doble.")</f>
      </c>
      <c r="C15" s="30"/>
      <c r="D15" s="30"/>
      <c r="E15" s="30"/>
      <c r="F15" s="30"/>
    </row>
  </sheetData>
  <mergeCells count="10">
    <mergeCell ref="A1:F1"/>
    <mergeCell ref="B3:C3"/>
    <mergeCell ref="E3:F3"/>
    <mergeCell ref="C6:D6"/>
    <mergeCell ref="F6:G6"/>
    <mergeCell ref="B8:C8"/>
    <mergeCell ref="E8:F8"/>
    <mergeCell ref="C11:D11"/>
    <mergeCell ref="B13:F13"/>
    <mergeCell ref="B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14" customWidth="1"/>
    <col min="3" max="3" width="56" customWidth="1"/>
  </cols>
  <sheetData>
    <row r="1" ht="26" customHeight="1" spans="1:3" x14ac:dyDescent="0.25">
      <c r="A1" s="1" t="s">
        <v>111</v>
      </c>
      <c r="B1" s="1"/>
      <c r="C1" s="1"/>
    </row>
    <row r="3" ht="20" customHeight="1" spans="1:3" x14ac:dyDescent="0.25">
      <c r="A3" s="31" t="s">
        <v>112</v>
      </c>
      <c r="B3" s="31"/>
      <c r="C3" s="31"/>
    </row>
    <row r="4" spans="1:3" x14ac:dyDescent="0.25">
      <c r="A4" s="32" t="s">
        <v>113</v>
      </c>
      <c r="B4" s="32" t="s">
        <v>114</v>
      </c>
      <c r="C4" s="32" t="s">
        <v>115</v>
      </c>
    </row>
    <row r="5" spans="1:3" x14ac:dyDescent="0.25">
      <c r="A5" s="33" t="s">
        <v>116</v>
      </c>
      <c r="B5" s="34">
        <f>Balance!B5/Balance!B37</f>
      </c>
      <c r="C5" s="35" t="s">
        <v>117</v>
      </c>
    </row>
    <row r="6" spans="1:3" x14ac:dyDescent="0.25">
      <c r="A6" s="33" t="s">
        <v>118</v>
      </c>
      <c r="B6" s="34">
        <f>(Balance!B5-Balance!B19)/Balance!B37</f>
      </c>
      <c r="C6" s="35" t="s">
        <v>119</v>
      </c>
    </row>
    <row r="7" spans="1:3" x14ac:dyDescent="0.25">
      <c r="A7" s="33" t="s">
        <v>120</v>
      </c>
      <c r="B7" s="34">
        <f>(Balance!B6+Balance!B10)/Balance!B37</f>
      </c>
      <c r="C7" s="35" t="s">
        <v>121</v>
      </c>
    </row>
    <row r="8" spans="1:3" x14ac:dyDescent="0.25">
      <c r="A8" s="33" t="s">
        <v>122</v>
      </c>
      <c r="B8" s="36">
        <f>Balance!B5-Balance!B37</f>
      </c>
      <c r="C8" s="35" t="s">
        <v>123</v>
      </c>
    </row>
    <row r="9" ht="20" customHeight="1" spans="1:3" x14ac:dyDescent="0.25">
      <c r="A9" s="31" t="s">
        <v>124</v>
      </c>
      <c r="B9" s="31"/>
      <c r="C9" s="31"/>
    </row>
    <row r="10" spans="1:3" x14ac:dyDescent="0.25">
      <c r="A10" s="32" t="s">
        <v>113</v>
      </c>
      <c r="B10" s="32" t="s">
        <v>114</v>
      </c>
      <c r="C10" s="32" t="s">
        <v>115</v>
      </c>
    </row>
    <row r="11" spans="1:3" x14ac:dyDescent="0.25">
      <c r="A11" s="33" t="s">
        <v>125</v>
      </c>
      <c r="B11" s="37">
        <f>Balance!B36/Balance!B4</f>
      </c>
      <c r="C11" s="35" t="s">
        <v>126</v>
      </c>
    </row>
    <row r="12" spans="1:3" x14ac:dyDescent="0.25">
      <c r="A12" s="33" t="s">
        <v>127</v>
      </c>
      <c r="B12" s="34">
        <f>Balance!B36/Balance!B53</f>
      </c>
      <c r="C12" s="35" t="s">
        <v>128</v>
      </c>
    </row>
    <row r="13" spans="1:3" x14ac:dyDescent="0.25">
      <c r="A13" s="33" t="s">
        <v>129</v>
      </c>
      <c r="B13" s="34">
        <f>Balance!B4/Balance!B36</f>
      </c>
      <c r="C13" s="35" t="s">
        <v>130</v>
      </c>
    </row>
    <row r="14" spans="1:3" x14ac:dyDescent="0.25">
      <c r="A14" s="33" t="s">
        <v>131</v>
      </c>
      <c r="B14" s="37">
        <f>Balance!B24/Balance!B4</f>
      </c>
      <c r="C14" s="35" t="s">
        <v>132</v>
      </c>
    </row>
    <row r="15" ht="20" customHeight="1" spans="1:3" x14ac:dyDescent="0.25">
      <c r="A15" s="31" t="s">
        <v>133</v>
      </c>
      <c r="B15" s="31"/>
      <c r="C15" s="31"/>
    </row>
    <row r="16" spans="1:3" x14ac:dyDescent="0.25">
      <c r="A16" s="32" t="s">
        <v>113</v>
      </c>
      <c r="B16" s="32" t="s">
        <v>114</v>
      </c>
      <c r="C16" s="32" t="s">
        <v>115</v>
      </c>
    </row>
    <row r="17" spans="1:3" x14ac:dyDescent="0.25">
      <c r="A17" s="33" t="s">
        <v>134</v>
      </c>
      <c r="B17" s="37">
        <f>Resultados!B11/Resultados!B4</f>
      </c>
      <c r="C17" s="35" t="s">
        <v>135</v>
      </c>
    </row>
    <row r="18" spans="1:3" x14ac:dyDescent="0.25">
      <c r="A18" s="33" t="s">
        <v>136</v>
      </c>
      <c r="B18" s="37">
        <f>Resultados!B31/Resultados!B4</f>
      </c>
      <c r="C18" s="35" t="s">
        <v>137</v>
      </c>
    </row>
    <row r="19" spans="1:3" x14ac:dyDescent="0.25">
      <c r="A19" s="33" t="s">
        <v>138</v>
      </c>
      <c r="B19" s="37">
        <f>Resultados!B31/Balance!B4</f>
      </c>
      <c r="C19" s="35" t="s">
        <v>139</v>
      </c>
    </row>
    <row r="20" spans="1:3" x14ac:dyDescent="0.25">
      <c r="A20" s="33" t="s">
        <v>140</v>
      </c>
      <c r="B20" s="37">
        <f>Resultados!B31/Balance!B53</f>
      </c>
      <c r="C20" s="35" t="s">
        <v>141</v>
      </c>
    </row>
    <row r="21" ht="20" customHeight="1" spans="1:3" x14ac:dyDescent="0.25">
      <c r="A21" s="31" t="s">
        <v>142</v>
      </c>
      <c r="B21" s="31"/>
      <c r="C21" s="31"/>
    </row>
    <row r="22" spans="1:3" x14ac:dyDescent="0.25">
      <c r="A22" s="32" t="s">
        <v>113</v>
      </c>
      <c r="B22" s="32" t="s">
        <v>114</v>
      </c>
      <c r="C22" s="32" t="s">
        <v>115</v>
      </c>
    </row>
    <row r="23" spans="1:3" x14ac:dyDescent="0.25">
      <c r="A23" s="33" t="s">
        <v>143</v>
      </c>
      <c r="B23" s="34">
        <f>Resultados!B4/Balance!B12</f>
      </c>
      <c r="C23" s="35" t="s">
        <v>144</v>
      </c>
    </row>
    <row r="24" spans="1:3" x14ac:dyDescent="0.25">
      <c r="A24" s="33" t="s">
        <v>145</v>
      </c>
      <c r="B24" s="38">
        <f>Balance!B12/Resultados!B4*365</f>
      </c>
      <c r="C24" s="35" t="s">
        <v>146</v>
      </c>
    </row>
    <row r="25" spans="1:3" x14ac:dyDescent="0.25">
      <c r="A25" s="33" t="s">
        <v>147</v>
      </c>
      <c r="B25" s="34">
        <f>-Resultados!B7/Balance!B19</f>
      </c>
      <c r="C25" s="35" t="s">
        <v>148</v>
      </c>
    </row>
    <row r="26" spans="1:3" x14ac:dyDescent="0.25">
      <c r="A26" s="33" t="s">
        <v>149</v>
      </c>
      <c r="B26" s="38">
        <f>Balance!B19/(-Resultados!B7)*365</f>
      </c>
      <c r="C26" s="35" t="s">
        <v>150</v>
      </c>
    </row>
    <row r="27" spans="1:3" x14ac:dyDescent="0.25">
      <c r="A27" s="33" t="s">
        <v>151</v>
      </c>
      <c r="B27" s="38">
        <f>Balance!B41/(-Resultados!B7)*365</f>
      </c>
      <c r="C27" s="35" t="s">
        <v>152</v>
      </c>
    </row>
    <row r="28" spans="1:3" x14ac:dyDescent="0.25">
      <c r="A28" s="33" t="s">
        <v>153</v>
      </c>
      <c r="B28" s="38">
        <f>Balance!B12/Resultados!B4*365+Balance!B19/(-Resultados!B7)*365-Balance!B41/(-Resultados!B7)*365</f>
      </c>
      <c r="C28" s="35" t="s">
        <v>154</v>
      </c>
    </row>
    <row r="29" spans="1:3" x14ac:dyDescent="0.25">
      <c r="A29" s="33" t="s">
        <v>155</v>
      </c>
      <c r="B29" s="34">
        <f>Resultados!B4/Balance!B4</f>
      </c>
      <c r="C29" s="35" t="s">
        <v>156</v>
      </c>
    </row>
    <row r="30" ht="20" customHeight="1" spans="1:3" x14ac:dyDescent="0.25">
      <c r="A30" s="31" t="s">
        <v>157</v>
      </c>
      <c r="B30" s="31"/>
      <c r="C30" s="31"/>
    </row>
    <row r="31" spans="1:3" x14ac:dyDescent="0.25">
      <c r="A31" s="32" t="s">
        <v>113</v>
      </c>
      <c r="B31" s="32" t="s">
        <v>114</v>
      </c>
      <c r="C31" s="32" t="s">
        <v>115</v>
      </c>
    </row>
    <row r="32" spans="1:3" x14ac:dyDescent="0.25">
      <c r="A32" s="33" t="s">
        <v>158</v>
      </c>
      <c r="B32" s="37">
        <f>Resultados!B23/Resultados!B4</f>
      </c>
      <c r="C32" s="35" t="s">
        <v>159</v>
      </c>
    </row>
    <row r="33" spans="1:3" x14ac:dyDescent="0.25">
      <c r="A33" s="33" t="s">
        <v>160</v>
      </c>
      <c r="B33" s="37">
        <f>Resultados!B20/Resultados!B4</f>
      </c>
      <c r="C33" s="35" t="s">
        <v>161</v>
      </c>
    </row>
    <row r="34" spans="1:3" x14ac:dyDescent="0.25">
      <c r="A34" s="33" t="s">
        <v>162</v>
      </c>
      <c r="B34" s="36">
        <f>_xlfn.LET(t,0.35,Resultados!B23*(1-t))</f>
      </c>
      <c r="C34" s="35" t="s">
        <v>163</v>
      </c>
    </row>
    <row r="35" spans="1:3" x14ac:dyDescent="0.25">
      <c r="A35" s="33" t="s">
        <v>164</v>
      </c>
      <c r="B35" s="36">
        <f>(Balance!B12+Balance!B19-Balance!B41)+Balance!B24</f>
      </c>
      <c r="C35" s="35" t="s">
        <v>165</v>
      </c>
    </row>
    <row r="36" spans="1:3" x14ac:dyDescent="0.25">
      <c r="A36" s="33" t="s">
        <v>166</v>
      </c>
      <c r="B36" s="37">
        <f>_xlfn.LET(nopat,Resultados!B23*(1-0.35),ci,(Balance!B12+Balance!B19-Balance!B41)+Balance!B24,nopat/ci)</f>
      </c>
      <c r="C36" s="35" t="s">
        <v>167</v>
      </c>
    </row>
    <row r="37" ht="20" customHeight="1" spans="1:3" x14ac:dyDescent="0.25">
      <c r="A37" s="31" t="s">
        <v>168</v>
      </c>
      <c r="B37" s="31"/>
      <c r="C37" s="31"/>
    </row>
    <row r="38" spans="1:3" x14ac:dyDescent="0.25">
      <c r="A38" s="32" t="s">
        <v>113</v>
      </c>
      <c r="B38" s="32" t="s">
        <v>114</v>
      </c>
      <c r="C38" s="32" t="s">
        <v>115</v>
      </c>
    </row>
    <row r="39" spans="1:3" x14ac:dyDescent="0.25">
      <c r="A39" s="33" t="s">
        <v>169</v>
      </c>
      <c r="B39" s="34">
        <f>Resultados!B23/(-Resultados!B24)</f>
      </c>
      <c r="C39" s="35" t="s">
        <v>170</v>
      </c>
    </row>
    <row r="40" spans="1:3" x14ac:dyDescent="0.25">
      <c r="A40" s="33" t="s">
        <v>171</v>
      </c>
      <c r="B40" s="37">
        <f>-Resultados!B24/Resultados!B23</f>
      </c>
      <c r="C40" s="35" t="s">
        <v>172</v>
      </c>
    </row>
    <row r="41" spans="1:3" x14ac:dyDescent="0.25">
      <c r="A41" s="33" t="s">
        <v>173</v>
      </c>
      <c r="B41" s="34">
        <f>(Balance!B37+Balance!B48-Balance!B41)/Resultados!B20</f>
      </c>
      <c r="C41" s="35" t="s">
        <v>174</v>
      </c>
    </row>
    <row r="42" spans="1:3" x14ac:dyDescent="0.25">
      <c r="A42" s="33" t="s">
        <v>175</v>
      </c>
      <c r="B42" s="36">
        <f>Resultados!B20-440</f>
      </c>
      <c r="C42" s="35" t="s">
        <v>176</v>
      </c>
    </row>
    <row r="44" ht="46" customHeight="1" spans="1:3" x14ac:dyDescent="0.25">
      <c r="A44" s="39">
        <f>"Lectura integrada: el ROIC ("&amp;TEXT(_xlfn.LET(nopat,Resultados!B23*(1-0.35),ci,(Balance!B12+Balance!B19-Balance!B41)+Balance!B24,nopat/ci),"0.0%")&amp;") combina margen y rotacion; la cobertura de intereses ("&amp;TEXT(Resultados!B23/(-Resultados!B24),"0.0")&amp;"x) mide si lo operativo soporta lo financiero. Cambia cualquier cuenta del Balance o del Estado de Resultados y todos los indicadores se recalculan."</f>
      </c>
      <c r="B44" s="39"/>
      <c r="C44" s="39"/>
    </row>
  </sheetData>
  <mergeCells count="8">
    <mergeCell ref="A1:C1"/>
    <mergeCell ref="A3:C3"/>
    <mergeCell ref="A9:C9"/>
    <mergeCell ref="A15:C15"/>
    <mergeCell ref="A21:C21"/>
    <mergeCell ref="A30:C30"/>
    <mergeCell ref="A37:C37"/>
    <mergeCell ref="A44:C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Resultados</vt:lpstr>
      <vt:lpstr>Articulacion</vt:lpstr>
      <vt:lpstr>Indicadores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2026-06-24T11:39:17Z</dcterms:created>
  <dcterms:modified xsi:type="dcterms:W3CDTF">2026-06-24T11:39:17Z</dcterms:modified>
</cp:coreProperties>
</file>