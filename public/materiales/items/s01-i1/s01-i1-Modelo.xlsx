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1" state="visible" r:id="rId4"/>
  </sheets>
  <calcPr calcId="171027"/>
</workbook>
</file>

<file path=xl/sharedStrings.xml><?xml version="1.0" encoding="utf-8"?>
<sst xmlns="http://schemas.openxmlformats.org/spreadsheetml/2006/main" count="13" uniqueCount="13">
  <si>
    <t>MODELO · S1 Ítem 1 — Balance — ecuación patrimonial de Andina</t>
  </si>
  <si>
    <t>1) VARIABLES (celdas amarillas — editá)</t>
  </si>
  <si>
    <t>Activo corriente</t>
  </si>
  <si>
    <t>Activo no corriente</t>
  </si>
  <si>
    <t>Pasivo corriente</t>
  </si>
  <si>
    <t>Pasivo no corriente</t>
  </si>
  <si>
    <t>2) INDICADORES</t>
  </si>
  <si>
    <t>Activo total</t>
  </si>
  <si>
    <t>Pasivo total</t>
  </si>
  <si>
    <t>Patrimonio Neto (residuo)</t>
  </si>
  <si>
    <t>Capital de trabajo (AC − PC)</t>
  </si>
  <si>
    <t>Razón corriente (AC / PC)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</si>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</sst>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3" fontId="4" fillId="5" borderId="0" xfId="0" applyNumberFormat="1" applyFont="1" applyFill="1"/>
    <xf numFmtId="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4810</v>
      </c>
    </row>
    <row r="5" spans="1:2" x14ac:dyDescent="0.25">
      <c r="A5" t="s">
        <v>3</v>
      </c>
      <c r="B5" s="3">
        <v>2640</v>
      </c>
    </row>
    <row r="6" spans="1:2" x14ac:dyDescent="0.25">
      <c r="A6" t="s">
        <v>4</v>
      </c>
      <c r="B6" s="3">
        <v>3250</v>
      </c>
    </row>
    <row r="7" spans="1:2" x14ac:dyDescent="0.25">
      <c r="A7" t="s">
        <v>5</v>
      </c>
      <c r="B7" s="3">
        <v>1070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4">
        <f>B4+B5</f>
      </c>
    </row>
    <row r="11" spans="1:2" x14ac:dyDescent="0.25">
      <c r="A11" t="s">
        <v>8</v>
      </c>
      <c r="B11" s="4">
        <f>B6+B7</f>
      </c>
    </row>
    <row r="12" spans="1:2" x14ac:dyDescent="0.25">
      <c r="A12" t="s">
        <v>9</v>
      </c>
      <c r="B12" s="4">
        <f>B10-B11</f>
      </c>
    </row>
    <row r="13" spans="1:2" x14ac:dyDescent="0.25">
      <c r="A13" t="s">
        <v>10</v>
      </c>
      <c r="B13" s="4">
        <f>B4-B6</f>
      </c>
    </row>
    <row r="14" spans="1:2" x14ac:dyDescent="0.25">
      <c r="A14" t="s">
        <v>11</v>
      </c>
      <c r="B14" s="5">
        <f>B4/B6</f>
      </c>
    </row>
    <row r="16" spans="1:3" x14ac:dyDescent="0.25">
      <c r="A16" s="2" t="s">
        <v>12</v>
      </c>
      <c r="B16" s="2"/>
      <c r="C16" s="2"/>
    </row>
    <row r="17" ht="32" customHeight="1" spans="1:3" x14ac:dyDescent="0.25">
      <c r="A17" s="6">
        <f>IF(AND(B13&gt;0,B14&gt;=1.2),"Capital de trabajo positivo ("&amp;TEXT(B13,"#,##0")&amp;") y razon corriente "&amp;TEXT(B14,"0.00")&amp;": liquidez agregada sana, pero revisa la CALIDAD del activo corriente.","Liquidez ajustada: el activo corriente no holga sobre el pasivo corriente. Con deuda cara, explica la tension de caja.")</f>
      </c>
      <c r="B17" s="6"/>
      <c r="C17" s="6"/>
    </row>
  </sheetData>
  <mergeCells count="5">
    <mergeCell ref="A1:C1"/>
    <mergeCell ref="A3:C3"/>
    <mergeCell ref="A9:C9"/>
    <mergeCell ref="A16:C16"/>
    <mergeCell ref="A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2026-06-24T11:50:51Z</dcterms:created>
  <dcterms:modified xsi:type="dcterms:W3CDTF">2026-06-24T11:50:51Z</dcterms:modified>
</cp:coreProperties>
</file>