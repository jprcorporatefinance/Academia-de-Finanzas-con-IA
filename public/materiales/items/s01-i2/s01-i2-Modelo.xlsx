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<sst xmlns="http://schemas.openxmlformats.org/spreadsheetml/2006/main" count="15" uniqueCount="15">
  <si>
    <t>MODELO · S1 Ítem 2 — Estado de Resultados — cascada y márgenes</t>
  </si>
  <si>
    <t>1) VARIABLES (celdas amarillas — editá)</t>
  </si>
  <si>
    <t>Ventas netas</t>
  </si>
  <si>
    <t>Costo de mercadería vendida</t>
  </si>
  <si>
    <t>Gastos comerc. + admin.</t>
  </si>
  <si>
    <t>Amortizaciones</t>
  </si>
  <si>
    <t>Resultados financieros (intereses)</t>
  </si>
  <si>
    <t>Tasa de impuesto</t>
  </si>
  <si>
    <t>2) INDICADORES</t>
  </si>
  <si>
    <t>Resultado bruto</t>
  </si>
  <si>
    <t>EBIT (resultado operativo)</t>
  </si>
  <si>
    <t>Resultado neto</t>
  </si>
  <si>
    <t>Margen bruto</t>
  </si>
  <si>
    <t>Margen neto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</si>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</sst>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8200</v>
      </c>
    </row>
    <row r="5" spans="1:2" x14ac:dyDescent="0.25">
      <c r="A5" t="s">
        <v>3</v>
      </c>
      <c r="B5" s="3">
        <v>5740</v>
      </c>
    </row>
    <row r="6" spans="1:2" x14ac:dyDescent="0.25">
      <c r="A6" t="s">
        <v>4</v>
      </c>
      <c r="B6" s="3">
        <v>1340</v>
      </c>
    </row>
    <row r="7" spans="1:2" x14ac:dyDescent="0.25">
      <c r="A7" t="s">
        <v>5</v>
      </c>
      <c r="B7" s="3">
        <v>290</v>
      </c>
    </row>
    <row r="8" spans="1:2" x14ac:dyDescent="0.25">
      <c r="A8" t="s">
        <v>6</v>
      </c>
      <c r="B8" s="3">
        <v>560</v>
      </c>
    </row>
    <row r="9" spans="1:2" x14ac:dyDescent="0.25">
      <c r="A9" t="s">
        <v>7</v>
      </c>
      <c r="B9" s="4">
        <v>0.35</v>
      </c>
    </row>
    <row r="11" spans="1:3" x14ac:dyDescent="0.25">
      <c r="A11" s="2" t="s">
        <v>8</v>
      </c>
      <c r="B11" s="2"/>
      <c r="C11" s="2"/>
    </row>
    <row r="12" spans="1:2" x14ac:dyDescent="0.25">
      <c r="A12" t="s">
        <v>9</v>
      </c>
      <c r="B12" s="5">
        <f>B4-B5</f>
      </c>
    </row>
    <row r="13" spans="1:2" x14ac:dyDescent="0.25">
      <c r="A13" t="s">
        <v>10</v>
      </c>
      <c r="B13" s="5">
        <f>B12-B6-B7</f>
      </c>
    </row>
    <row r="14" spans="1:2" x14ac:dyDescent="0.25">
      <c r="A14" t="s">
        <v>11</v>
      </c>
      <c r="B14" s="5">
        <f>(B13-B8)*(1-B9)</f>
      </c>
    </row>
    <row r="15" spans="1:2" x14ac:dyDescent="0.25">
      <c r="A15" t="s">
        <v>12</v>
      </c>
      <c r="B15" s="6">
        <f>B12/B4</f>
      </c>
    </row>
    <row r="16" spans="1:2" x14ac:dyDescent="0.25">
      <c r="A16" t="s">
        <v>13</v>
      </c>
      <c r="B16" s="6">
        <f>B14/B4</f>
      </c>
    </row>
    <row r="18" spans="1:3" x14ac:dyDescent="0.25">
      <c r="A18" s="2" t="s">
        <v>14</v>
      </c>
      <c r="B18" s="2"/>
      <c r="C18" s="2"/>
    </row>
    <row r="19" ht="32" customHeight="1" spans="1:3" x14ac:dyDescent="0.25">
      <c r="A19" s="7">
        <f>IF(B8&gt;0.4*B13,"Los intereses se comen mas del 40% del EBIT ("&amp;TEXT(B8/B13,"0.0%")&amp;"): el negocio gana operando pero lo entrega a los bancos. El problema es la deuda, no el margen.","Carga de intereses bajo control (menos del 40% del EBIT): la rentabilidad se define en la operacion.")</f>
      </c>
      <c r="B19" s="7"/>
      <c r="C19" s="7"/>
    </row>
  </sheetData>
  <mergeCells count="5">
    <mergeCell ref="A1:C1"/>
    <mergeCell ref="A3:C3"/>
    <mergeCell ref="A11:C11"/>
    <mergeCell ref="A18:C18"/>
    <mergeCell ref="A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2026-06-24T11:50:51Z</dcterms:created>
  <dcterms:modified xsi:type="dcterms:W3CDTF">2026-06-24T11:50:51Z</dcterms:modified>
</cp:coreProperties>
</file>