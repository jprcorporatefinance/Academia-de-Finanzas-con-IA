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3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<sst xmlns="http://schemas.openxmlformats.org/spreadsheetml/2006/main" count="12" uniqueCount="12">
  <si>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MODELO · S1 Ítem 3 — GMROI — margen × rotación de inventario</t>
  </si>
  <si>
    <t>1) VARIABLES (celdas amarillas — editá)</t>
  </si>
  <si>
    <t>Margen bruto ($)</t>
  </si>
  <si>
    <t>Ventas netas</t>
  </si>
  <si>
    <t>Costo de mercadería vendida</t>
  </si>
  <si>
    <t>Inventario promedio (al costo)</t>
  </si>
  <si>
    <t>2) INDICADORES</t>
  </si>
  <si>
    <t>Margen bruto (%)</t>
  </si>
  <si>
    <t>Rotación de inventario (CMV / inv.)</t>
  </si>
  <si>
    <t>GMROI (margen × rotación)</t>
  </si>
  <si>
    <t>Días de inventario (DIO)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</si>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</sst>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4" fillId="5" borderId="0" xfId="0" applyNumberFormat="1" applyFont="1" applyFill="1"/>
    <xf numFmtId="4" fontId="4" fillId="5" borderId="0" xfId="0" applyNumberFormat="1" applyFont="1" applyFill="1"/>
    <xf numFmtId="165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2460</v>
      </c>
    </row>
    <row r="5" spans="1:2" x14ac:dyDescent="0.25">
      <c r="A5" t="s">
        <v>3</v>
      </c>
      <c r="B5" s="3">
        <v>8200</v>
      </c>
    </row>
    <row r="6" spans="1:2" x14ac:dyDescent="0.25">
      <c r="A6" t="s">
        <v>4</v>
      </c>
      <c r="B6" s="3">
        <v>5740</v>
      </c>
    </row>
    <row r="7" spans="1:2" x14ac:dyDescent="0.25">
      <c r="A7" t="s">
        <v>5</v>
      </c>
      <c r="B7" s="3">
        <v>2125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4">
        <f>B4/B5</f>
      </c>
    </row>
    <row r="11" spans="1:2" x14ac:dyDescent="0.25">
      <c r="A11" t="s">
        <v>8</v>
      </c>
      <c r="B11" s="5">
        <f>B6/B7</f>
      </c>
    </row>
    <row r="12" spans="1:2" x14ac:dyDescent="0.25">
      <c r="A12" t="s">
        <v>9</v>
      </c>
      <c r="B12" s="5">
        <f>B10*B11</f>
      </c>
    </row>
    <row r="13" spans="1:2" x14ac:dyDescent="0.25">
      <c r="A13" t="s">
        <v>10</v>
      </c>
      <c r="B13" s="6">
        <f>B7/B6*365</f>
      </c>
    </row>
    <row r="15" spans="1:3" x14ac:dyDescent="0.25">
      <c r="A15" s="2" t="s">
        <v>11</v>
      </c>
      <c r="B15" s="2"/>
      <c r="C15" s="2"/>
    </row>
    <row r="16" ht="32" customHeight="1" spans="1:3" x14ac:dyDescent="0.25">
      <c r="A16" s="7">
        <f>IF(B12&gt;=1,"GMROI "&amp;TEXT(B12,"0.00")&amp;" supera 1: cada peso en stock recupera su valor en margen. Compara contra el benchmark sectorial (2-3) y ataca la baja rotacion.","GMROI "&amp;TEXT(B12,"0.00")&amp;" menor a 1: el inventario inmoviliza mas capital del que rinde. Subi rotacion bajando stock obsoleto (ABC/XYZ).")</f>
      </c>
      <c r="B16" s="7"/>
      <c r="C16" s="7"/>
    </row>
  </sheetData>
  <mergeCells count="5">
    <mergeCell ref="A1:C1"/>
    <mergeCell ref="A3:C3"/>
    <mergeCell ref="A9:C9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