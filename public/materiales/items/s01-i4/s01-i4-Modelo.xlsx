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<sst xmlns="http://schemas.openxmlformats.org/spreadsheetml/2006/main" count="14" uniqueCount="14">
  <si>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S1 Ítem 4 — Ciclo de Conversión de Efectivo (CCE)</t>
  </si>
  <si>
    <t>1) VARIABLES (celdas amarillas — editá)</t>
  </si>
  <si>
    <t>Inventarios</t>
  </si>
  <si>
    <t>Cuentas por cobrar</t>
  </si>
  <si>
    <t>Proveedores comerciales</t>
  </si>
  <si>
    <t>Ventas netas (anuales)</t>
  </si>
  <si>
    <t>Costo de mercadería vendida (anual)</t>
  </si>
  <si>
    <t>2) INDICADORES</t>
  </si>
  <si>
    <t>DIO (días de inventario)</t>
  </si>
  <si>
    <t>DSO (días de cobranza)</t>
  </si>
  <si>
    <t>DPO (días de pago)</t>
  </si>
  <si>
    <t>Ciclo de Conversión de Efectivo</t>
  </si>
  <si>
    <t>Caja atrapada (CCE × CMV diario)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</si>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</sst>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2400</v>
      </c>
    </row>
    <row r="5" spans="1:2" x14ac:dyDescent="0.25">
      <c r="A5" t="s">
        <v>3</v>
      </c>
      <c r="B5" s="3">
        <v>1850</v>
      </c>
    </row>
    <row r="6" spans="1:2" x14ac:dyDescent="0.25">
      <c r="A6" t="s">
        <v>4</v>
      </c>
      <c r="B6" s="3">
        <v>1280</v>
      </c>
    </row>
    <row r="7" spans="1:2" x14ac:dyDescent="0.25">
      <c r="A7" t="s">
        <v>5</v>
      </c>
      <c r="B7" s="3">
        <v>8200</v>
      </c>
    </row>
    <row r="8" spans="1:2" x14ac:dyDescent="0.25">
      <c r="A8" t="s">
        <v>6</v>
      </c>
      <c r="B8" s="3">
        <v>5740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4">
        <f>B4/B8*365</f>
      </c>
    </row>
    <row r="12" spans="1:2" x14ac:dyDescent="0.25">
      <c r="A12" t="s">
        <v>9</v>
      </c>
      <c r="B12" s="4">
        <f>B5/B7*365</f>
      </c>
    </row>
    <row r="13" spans="1:2" x14ac:dyDescent="0.25">
      <c r="A13" t="s">
        <v>10</v>
      </c>
      <c r="B13" s="4">
        <f>B6/B8*365</f>
      </c>
    </row>
    <row r="14" spans="1:2" x14ac:dyDescent="0.25">
      <c r="A14" t="s">
        <v>11</v>
      </c>
      <c r="B14" s="4">
        <f>B11+B12-B13</f>
      </c>
    </row>
    <row r="15" spans="1:2" x14ac:dyDescent="0.25">
      <c r="A15" t="s">
        <v>12</v>
      </c>
      <c r="B15" s="5">
        <f>B14*(B8/365)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6">
        <f>IF(B14&lt;=90,"CCE de "&amp;TEXT(B14,"0")&amp;" dias: la caja rota razonablemente rapido. Monitorea el componente mas debil.","CCE de "&amp;TEXT(B14,"0")&amp;" dias: caja atrapada en stock y cobranzas lentas que obliga a financiarse caro. Ataca DIO (ABC/XYZ) y DSO (cobranzas).")</f>
      </c>
      <c r="B18" s="6"/>
      <c r="C18" s="6"/>
    </row>
  </sheetData>
  <mergeCells count="5">
    <mergeCell ref="A1:C1"/>
    <mergeCell ref="A3:C3"/>
    <mergeCell ref="A10:C10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