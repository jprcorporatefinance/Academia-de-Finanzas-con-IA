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<sst xmlns="http://schemas.openxmlformats.org/spreadsheetml/2006/main" count="14" uniqueCount="14">
  <si>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MODELO · S1 Ítem 5 — Resultado vs. caja — el puente del flujo operativo</t>
  </si>
  <si>
    <t>1) VARIABLES (celdas amarillas — editá)</t>
  </si>
  <si>
    <t>Resultado neto</t>
  </si>
  <si>
    <t>(+) Amortizaciones</t>
  </si>
  <si>
    <t>(+) Intereses</t>
  </si>
  <si>
    <t>(−) Aumento cuentas por cobrar</t>
  </si>
  <si>
    <t>(−) Aumento de inventarios</t>
  </si>
  <si>
    <t>(+) Aumento de proveedores</t>
  </si>
  <si>
    <t>2) INDICADORES</t>
  </si>
  <si>
    <t>Ajustes no erogables (+amort +int.)</t>
  </si>
  <si>
    <t>Variación de capital de trabajo</t>
  </si>
  <si>
    <t>Flujo operativo (antes int. e imp.)</t>
  </si>
  <si>
    <t>Brecha flujo − resultado neto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</si>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</sst>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175</v>
      </c>
    </row>
    <row r="5" spans="1:2" x14ac:dyDescent="0.25">
      <c r="A5" t="s">
        <v>3</v>
      </c>
      <c r="B5" s="3">
        <v>290</v>
      </c>
    </row>
    <row r="6" spans="1:2" x14ac:dyDescent="0.25">
      <c r="A6" t="s">
        <v>4</v>
      </c>
      <c r="B6" s="3">
        <v>560</v>
      </c>
    </row>
    <row r="7" spans="1:2" x14ac:dyDescent="0.25">
      <c r="A7" t="s">
        <v>5</v>
      </c>
      <c r="B7" s="3">
        <v>330</v>
      </c>
    </row>
    <row r="8" spans="1:2" x14ac:dyDescent="0.25">
      <c r="A8" t="s">
        <v>6</v>
      </c>
      <c r="B8" s="3">
        <v>550</v>
      </c>
    </row>
    <row r="9" spans="1:2" x14ac:dyDescent="0.25">
      <c r="A9" t="s">
        <v>7</v>
      </c>
      <c r="B9" s="3">
        <v>160</v>
      </c>
    </row>
    <row r="11" spans="1:3" x14ac:dyDescent="0.25">
      <c r="A11" s="2" t="s">
        <v>8</v>
      </c>
      <c r="B11" s="2"/>
      <c r="C11" s="2"/>
    </row>
    <row r="12" spans="1:2" x14ac:dyDescent="0.25">
      <c r="A12" t="s">
        <v>9</v>
      </c>
      <c r="B12" s="4">
        <f>B5+B6</f>
      </c>
    </row>
    <row r="13" spans="1:2" x14ac:dyDescent="0.25">
      <c r="A13" t="s">
        <v>10</v>
      </c>
      <c r="B13" s="4">
        <f>-B7-B8+B9</f>
      </c>
    </row>
    <row r="14" spans="1:2" x14ac:dyDescent="0.25">
      <c r="A14" t="s">
        <v>11</v>
      </c>
      <c r="B14" s="4">
        <f>B4+B12+B13</f>
      </c>
    </row>
    <row r="15" spans="1:2" x14ac:dyDescent="0.25">
      <c r="A15" t="s">
        <v>12</v>
      </c>
      <c r="B15" s="4">
        <f>B14-B4</f>
      </c>
    </row>
    <row r="17" spans="1:3" x14ac:dyDescent="0.25">
      <c r="A17" s="2" t="s">
        <v>13</v>
      </c>
      <c r="B17" s="2"/>
      <c r="C17" s="2"/>
    </row>
    <row r="18" ht="32" customHeight="1" spans="1:3" x14ac:dyDescent="0.25">
      <c r="A18" s="5">
        <f>IF(B7+B8&gt;B4+B5,"El aumento de cobranzas + inventarios ("&amp;TEXT(B7+B8,"#,##0")&amp;") supera al resultado + amortizaciones: el capital de trabajo se COME la caja. La ganancia quedo atrapada (CCE largo).","El capital de trabajo no drena mas caja de la que genera el resultado: el ciclo esta bajo control.")</f>
      </c>
      <c r="B18" s="5"/>
      <c r="C18" s="5"/>
    </row>
  </sheetData>
  <mergeCells count="5">
    <mergeCell ref="A1:C1"/>
    <mergeCell ref="A3:C3"/>
    <mergeCell ref="A11:C11"/>
    <mergeCell ref="A17:C17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