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<sst xmlns="http://schemas.openxmlformats.org/spreadsheetml/2006/main" count="12" uniqueCount="12">
  <si>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S2 Ítem 1 — PN contable vs. PN económico</t>
  </si>
  <si>
    <t>1) VARIABLES (celdas amarillas — editá)</t>
  </si>
  <si>
    <t>Patrimonio Neto contable</t>
  </si>
  <si>
    <t>Activos ocultos (a sumar)</t>
  </si>
  <si>
    <t>Terreno +550, marca +650, edificio +160</t>
  </si>
  <si>
    <t>Activos sobrevaluados (a restar)</t>
  </si>
  <si>
    <t>Incobrables 290, inventario 420, maquinaria 300, rodados 30</t>
  </si>
  <si>
    <t>2) INDICADORES</t>
  </si>
  <si>
    <t>Ajuste neto al patrimonio</t>
  </si>
  <si>
    <t>Patrimonio Neto económico</t>
  </si>
  <si>
    <t>Brecha sobre PN contable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</si>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</sst>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2770</v>
      </c>
    </row>
    <row r="5" spans="1:3" x14ac:dyDescent="0.25">
      <c r="A5" t="s">
        <v>3</v>
      </c>
      <c r="B5" s="3">
        <v>1360</v>
      </c>
      <c r="C5" t="s">
        <v>4</v>
      </c>
    </row>
    <row r="6" spans="1:3" x14ac:dyDescent="0.25">
      <c r="A6" t="s">
        <v>5</v>
      </c>
      <c r="B6" s="3">
        <v>1040</v>
      </c>
      <c r="C6" t="s">
        <v>6</v>
      </c>
    </row>
    <row r="8" spans="1:3" x14ac:dyDescent="0.25">
      <c r="A8" s="2" t="s">
        <v>7</v>
      </c>
      <c r="B8" s="2"/>
      <c r="C8" s="2"/>
    </row>
    <row r="9" spans="1:2" x14ac:dyDescent="0.25">
      <c r="A9" t="s">
        <v>8</v>
      </c>
      <c r="B9" s="4">
        <f>B5-B6</f>
      </c>
    </row>
    <row r="10" spans="1:2" x14ac:dyDescent="0.25">
      <c r="A10" t="s">
        <v>9</v>
      </c>
      <c r="B10" s="4">
        <f>B4+B9</f>
      </c>
    </row>
    <row r="11" spans="1:2" x14ac:dyDescent="0.25">
      <c r="A11" t="s">
        <v>10</v>
      </c>
      <c r="B11" s="5">
        <f>B9/B4</f>
      </c>
    </row>
    <row r="13" spans="1:3" x14ac:dyDescent="0.25">
      <c r="A13" s="2" t="s">
        <v>11</v>
      </c>
      <c r="B13" s="2"/>
      <c r="C13" s="2"/>
    </row>
    <row r="14" ht="32" customHeight="1" spans="1:3" x14ac:dyDescent="0.25">
      <c r="A14" s="6">
        <f>IF(B9&gt;=0,"Los activos ocultos pesan mas: el balance SUBESTIMA el patrimonio. PN economico "&amp;TEXT(B10,"#,##0")&amp;" vs contable "&amp;TEXT(B4,"#,##0")&amp;". No malvendas.","Los sobrevaluados superan a los ocultos: el balance SOBREESTIMA el patrimonio. Hay valor ficticio inflando el PN.")</f>
      </c>
      <c r="B14" s="6"/>
      <c r="C14" s="6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