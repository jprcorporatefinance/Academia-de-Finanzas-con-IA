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3" state="visible" r:id="rId4"/>
  </sheets>
  <calcPr calcId="171027"/>
</workbook>
</file>

<file path=xl/sharedStrings.xml><?xml version="1.0" encoding="utf-8"?>
<sst xmlns="http://schemas.openxmlformats.org/spreadsheetml/2006/main" count="13" uniqueCount="13">
  <si>
    <t>MODELO · S2 Ítem 3 — Activos sobrevaluados — valor ficticio en el balance</t>
  </si>
  <si>
    <t>1) VARIABLES (celdas amarillas — editá)</t>
  </si>
  <si>
    <t>Cuentas por cobrar (libros)</t>
  </si>
  <si>
    <t>Incobrables (mora +120 días)</t>
  </si>
  <si>
    <t>Inventarios (libros)</t>
  </si>
  <si>
    <t>Inventario obsoleto / lenta rotación</t>
  </si>
  <si>
    <t>Otros sobrevaluados (maquinaria, rodados)</t>
  </si>
  <si>
    <t>2) INDICADORES</t>
  </si>
  <si>
    <t>Cuentas por cobrar reales</t>
  </si>
  <si>
    <t>Inventario real</t>
  </si>
  <si>
    <t>Activos sobrevaluados totales</t>
  </si>
  <si>
    <t>Impacto en resultado (incob. + obsoleto)</t>
  </si>
  <si>
    <t>3) CONCLUSIÓN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</si>
</sst>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D4AF37"/>
      <sz val="11"/>
    </font>
    <font>
      <b/>
    </font>
    <font>
      <b/>
      <color rgb="FF1A2740"/>
    </font>
    <font>
      <color rgb="FF0B5132"/>
    </font>
  </fonts>
  <fills count="7">
    <fill>
      <patternFill patternType="none"/>
    </fill>
    <fill>
      <patternFill patternType="gray125"/>
    </fill>
    <fill>
      <patternFill patternType="solid">
        <fgColor rgb="FF0B1120"/>
      </patternFill>
    </fill>
    <fill>
      <patternFill patternType="solid">
        <fgColor rgb="FF111A2E"/>
      </patternFill>
    </fill>
    <fill>
      <patternFill patternType="solid">
        <fgColor rgb="FFFFF3C4"/>
      </patternFill>
    </fill>
    <fill>
      <patternFill patternType="solid">
        <fgColor rgb="FFEAF1FB"/>
      </patternFill>
    </fill>
    <fill>
      <patternFill patternType="solid">
        <fgColor rgb="FFE5F6EC"/>
      </patternFill>
    </fill>
  </fills>
  <borders count="2">
    <border>
      <left/>
      <right/>
      <top/>
      <bottom/>
      <diagonal/>
    </border>
    <border>
      <left style="thin">
        <color rgb="FFBFA12A"/>
      </left>
      <right style="thin">
        <color rgb="FFBFA12A"/>
      </right>
      <top style="thin">
        <color rgb="FFBFA12A"/>
      </top>
      <bottom style="thin">
        <color rgb="FFBFA1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3" fontId="3" fillId="4" borderId="1" xfId="0" applyNumberFormat="1" applyFont="1" applyFill="1" applyBorder="1"/>
    <xf numFmtId="3" fontId="4" fillId="5" borderId="0" xfId="0" applyNumberFormat="1" applyFont="1" applyFill="1"/>
    <xf numFmtId="0" fontId="5" fillId="6" borderId="0" xfId="0" applyFont="1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showGridLines="0"/>
  </sheetViews>
  <sheetFormatPr defaultRowHeight="15" outlineLevelRow="0" outlineLevelCol="0" x14ac:dyDescent="55"/>
  <cols>
    <col min="1" max="1" width="44" customWidth="1"/>
    <col min="2" max="2" width="16" customWidth="1"/>
    <col min="3" max="3" width="50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2" x14ac:dyDescent="0.25">
      <c r="A4" t="s">
        <v>2</v>
      </c>
      <c r="B4" s="3">
        <v>1850</v>
      </c>
    </row>
    <row r="5" spans="1:2" x14ac:dyDescent="0.25">
      <c r="A5" t="s">
        <v>3</v>
      </c>
      <c r="B5" s="3">
        <v>290</v>
      </c>
    </row>
    <row r="6" spans="1:2" x14ac:dyDescent="0.25">
      <c r="A6" t="s">
        <v>4</v>
      </c>
      <c r="B6" s="3">
        <v>2400</v>
      </c>
    </row>
    <row r="7" spans="1:2" x14ac:dyDescent="0.25">
      <c r="A7" t="s">
        <v>5</v>
      </c>
      <c r="B7" s="3">
        <v>420</v>
      </c>
    </row>
    <row r="8" spans="1:2" x14ac:dyDescent="0.25">
      <c r="A8" t="s">
        <v>6</v>
      </c>
      <c r="B8" s="3">
        <v>330</v>
      </c>
    </row>
    <row r="10" spans="1:3" x14ac:dyDescent="0.25">
      <c r="A10" s="2" t="s">
        <v>7</v>
      </c>
      <c r="B10" s="2"/>
      <c r="C10" s="2"/>
    </row>
    <row r="11" spans="1:2" x14ac:dyDescent="0.25">
      <c r="A11" t="s">
        <v>8</v>
      </c>
      <c r="B11" s="4">
        <f>B4-B5</f>
      </c>
    </row>
    <row r="12" spans="1:2" x14ac:dyDescent="0.25">
      <c r="A12" t="s">
        <v>9</v>
      </c>
      <c r="B12" s="4">
        <f>B6-B7</f>
      </c>
    </row>
    <row r="13" spans="1:2" x14ac:dyDescent="0.25">
      <c r="A13" t="s">
        <v>10</v>
      </c>
      <c r="B13" s="4">
        <f>B5+B7+B8</f>
      </c>
    </row>
    <row r="14" spans="1:2" x14ac:dyDescent="0.25">
      <c r="A14" t="s">
        <v>11</v>
      </c>
      <c r="B14" s="4">
        <f>B5+B7</f>
      </c>
    </row>
    <row r="16" spans="1:3" x14ac:dyDescent="0.25">
      <c r="A16" s="2" t="s">
        <v>12</v>
      </c>
      <c r="B16" s="2"/>
      <c r="C16" s="2"/>
    </row>
    <row r="17" ht="32" customHeight="1" spans="1:3" x14ac:dyDescent="0.25">
      <c r="A17" s="5">
        <f>IF(B14&lt;175,"El cargo por incobrables + obsoleto ("&amp;TEXT(B14,"#,##0")&amp;") es menor al resultado neto 175: lo reduce pero no lo borra. Igual previsiona y ataca cobranzas e inventario.","El cargo ("&amp;TEXT(B14,"#,##0")&amp;") iguala o supera el resultado neto 175: sincerar HACE DESAPARECER la ganancia. La rentabilidad real es fragil.")</f>
      </c>
      <c r="B17" s="5"/>
      <c r="C17" s="5"/>
    </row>
  </sheetData>
  <mergeCells count="5">
    <mergeCell ref="A1:C1"/>
    <mergeCell ref="A3:C3"/>
    <mergeCell ref="A10:C10"/>
    <mergeCell ref="A16:C16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2026-06-24T11:50:52Z</dcterms:created>
  <dcterms:modified xsi:type="dcterms:W3CDTF">2026-06-24T11:50:52Z</dcterms:modified>
</cp:coreProperties>
</file>