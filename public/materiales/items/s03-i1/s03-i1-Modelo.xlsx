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<sst xmlns="http://schemas.openxmlformats.org/spreadsheetml/2006/main" count="10" uniqueCount="10">
  <si>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S3 Ítem 1 — NOPAT — Andina Manufacturas</t>
  </si>
  <si>
    <t>1) VARIABLES (celdas amarillas — editá)</t>
  </si>
  <si>
    <t>EBIT (Resultado operativo)</t>
  </si>
  <si>
    <t>Tasa de impuesto (t)</t>
  </si>
  <si>
    <t>Intereses de la deuda</t>
  </si>
  <si>
    <t>2) INDICADORES</t>
  </si>
  <si>
    <t>NOPAT = EBIT × (1 − t)</t>
  </si>
  <si>
    <t>Utilidad neta (con intereses)</t>
  </si>
  <si>
    <t>Brecha NOPAT − utilidad neta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</si>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</sst>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830</v>
      </c>
    </row>
    <row r="5" spans="1:2" x14ac:dyDescent="0.25">
      <c r="A5" t="s">
        <v>3</v>
      </c>
      <c r="B5" s="4">
        <v>0.35</v>
      </c>
    </row>
    <row r="6" spans="1:2" x14ac:dyDescent="0.25">
      <c r="A6" t="s">
        <v>4</v>
      </c>
      <c r="B6" s="3">
        <v>560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B4*(1-B5)</f>
      </c>
    </row>
    <row r="10" spans="1:2" x14ac:dyDescent="0.25">
      <c r="A10" t="s">
        <v>7</v>
      </c>
      <c r="B10" s="5">
        <f>(B4-B6)*(1-B5)</f>
      </c>
    </row>
    <row r="11" spans="1:2" x14ac:dyDescent="0.25">
      <c r="A11" t="s">
        <v>8</v>
      </c>
      <c r="B11" s="5">
        <f>B9-B10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6">
        <f>IF(B9&gt;B10,"El NOPAT ("&amp;TEXT(B9,"#,##0")&amp;") supera la utilidad neta ("&amp;TEXT(B10,"#,##0")&amp;"). La brecha de "&amp;TEXT(B11,"#,##0")&amp;" es el costo de la deuda: el motor esta sano, la mochila financiera lo aplasta.","Sin intereses, el NOPAT iguala a la utilidad neta: el resultado operativo llega entero al accionista.")</f>
      </c>
      <c r="B14" s="6"/>
      <c r="C14" s="6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