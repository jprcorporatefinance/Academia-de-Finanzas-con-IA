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4" state="visible" r:id="rId4"/>
  </sheets>
  <calcPr calcId="171027"/>
</workbook>
</file>

<file path=xl/sharedStrings.xml><?xml version="1.0" encoding="utf-8"?>
<sst xmlns="http://schemas.openxmlformats.org/spreadsheetml/2006/main" count="16" uniqueCount="16">
  <si>
    <t>MODELO · S3 Ítem 4 — DuPont de 5 factores — Andina</t>
  </si>
  <si>
    <t>1) VARIABLES (celdas amarillas — editá)</t>
  </si>
  <si>
    <t>Utilidad neta</t>
  </si>
  <si>
    <t>Utilidad antes de impuestos (UAI)</t>
  </si>
  <si>
    <t>EBIT</t>
  </si>
  <si>
    <t>Ventas</t>
  </si>
  <si>
    <t>Activos totales</t>
  </si>
  <si>
    <t>Patrimonio neto</t>
  </si>
  <si>
    <t>2) INDICADORES</t>
  </si>
  <si>
    <t>Efecto fiscal (UN/UAI)</t>
  </si>
  <si>
    <t>Carga de intereses (UAI/EBIT)</t>
  </si>
  <si>
    <t>Margen operativo (EBIT/Ventas)</t>
  </si>
  <si>
    <t>Rotación (Ventas/Activos)</t>
  </si>
  <si>
    <t>Apalancamiento (Activos/PN)</t>
  </si>
  <si>
    <t>ROE (producto de los 5 factores)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</si>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</sst>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4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175</v>
      </c>
    </row>
    <row r="5" spans="1:2" x14ac:dyDescent="0.25">
      <c r="A5" t="s">
        <v>3</v>
      </c>
      <c r="B5" s="3">
        <v>270</v>
      </c>
    </row>
    <row r="6" spans="1:2" x14ac:dyDescent="0.25">
      <c r="A6" t="s">
        <v>4</v>
      </c>
      <c r="B6" s="3">
        <v>830</v>
      </c>
    </row>
    <row r="7" spans="1:2" x14ac:dyDescent="0.25">
      <c r="A7" t="s">
        <v>5</v>
      </c>
      <c r="B7" s="3">
        <v>8200</v>
      </c>
    </row>
    <row r="8" spans="1:2" x14ac:dyDescent="0.25">
      <c r="A8" t="s">
        <v>6</v>
      </c>
      <c r="B8" s="3">
        <v>7370</v>
      </c>
    </row>
    <row r="9" spans="1:2" x14ac:dyDescent="0.25">
      <c r="A9" t="s">
        <v>7</v>
      </c>
      <c r="B9" s="3">
        <v>2770</v>
      </c>
    </row>
    <row r="11" spans="1:3" x14ac:dyDescent="0.25">
      <c r="A11" s="2" t="s">
        <v>8</v>
      </c>
      <c r="B11" s="2"/>
      <c r="C11" s="2"/>
    </row>
    <row r="12" spans="1:2" x14ac:dyDescent="0.25">
      <c r="A12" t="s">
        <v>9</v>
      </c>
      <c r="B12" s="4">
        <f>B4/B5</f>
      </c>
    </row>
    <row r="13" spans="1:2" x14ac:dyDescent="0.25">
      <c r="A13" t="s">
        <v>10</v>
      </c>
      <c r="B13" s="4">
        <f>B5/B6</f>
      </c>
    </row>
    <row r="14" spans="1:2" x14ac:dyDescent="0.25">
      <c r="A14" t="s">
        <v>11</v>
      </c>
      <c r="B14" s="5">
        <f>B6/B7</f>
      </c>
    </row>
    <row r="15" spans="1:2" x14ac:dyDescent="0.25">
      <c r="A15" t="s">
        <v>12</v>
      </c>
      <c r="B15" s="4">
        <f>B7/B8</f>
      </c>
    </row>
    <row r="16" spans="1:2" x14ac:dyDescent="0.25">
      <c r="A16" t="s">
        <v>13</v>
      </c>
      <c r="B16" s="4">
        <f>B8/B9</f>
      </c>
    </row>
    <row r="17" spans="1:2" x14ac:dyDescent="0.25">
      <c r="A17" t="s">
        <v>14</v>
      </c>
      <c r="B17" s="5">
        <f>B12*B13*B14*B15*B16</f>
      </c>
    </row>
    <row r="19" spans="1:3" x14ac:dyDescent="0.25">
      <c r="A19" s="2" t="s">
        <v>15</v>
      </c>
      <c r="B19" s="2"/>
      <c r="C19" s="2"/>
    </row>
    <row r="20" ht="32" customHeight="1" spans="1:3" x14ac:dyDescent="0.25">
      <c r="A20" s="6">
        <f>IF(B13&gt;=0.6,"La carga de intereses es razonable (UAI/EBIT="&amp;TEXT(B13,"0.00")&amp;"): el resultado operativo llega casi entero. El ROE de "&amp;TEXT(B17,"0.0%")&amp;" viene de la operacion.","La carga de intereses asfixia (UAI/EBIT="&amp;TEXT(B13,"0.00")&amp;"): la deuda cara se come el EBIT. El problema NO es la operacion, es el costo financiero.")</f>
      </c>
      <c r="B20" s="6"/>
      <c r="C20" s="6"/>
    </row>
  </sheetData>
  <mergeCells count="5">
    <mergeCell ref="A1:C1"/>
    <mergeCell ref="A3:C3"/>
    <mergeCell ref="A11:C11"/>
    <mergeCell ref="A19:C19"/>
    <mergeCell ref="A20:C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