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<sst xmlns="http://schemas.openxmlformats.org/spreadsheetml/2006/main" count="14" uniqueCount="14">
  <si>
    <t>MODELO · S6 Ítem 4 — CFROI de Andina (retorno de caja real)</t>
  </si>
  <si>
    <t>1) VARIABLES (celdas amarillas — editá)</t>
  </si>
  <si>
    <t>EBIT (resultado operativo)</t>
  </si>
  <si>
    <t>Tasa de impuesto</t>
  </si>
  <si>
    <t>Amortizaciones</t>
  </si>
  <si>
    <t>Inversión bruta ajustada (activos a valor corriente)</t>
  </si>
  <si>
    <t>Capital invertido neto contable (para comparar ROIC)</t>
  </si>
  <si>
    <t>Costo de capital real</t>
  </si>
  <si>
    <t>2) INDICADORES</t>
  </si>
  <si>
    <t>NOPAT (EBIT × (1 − t))</t>
  </si>
  <si>
    <t>Flujo de caja bruto (NOPAT + Amort.)</t>
  </si>
  <si>
    <t>CFROI (FCB / Inversión bruta)</t>
  </si>
  <si>
    <t>ROIC contable (NOPAT / capital neto)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</si>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</sst>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830</v>
      </c>
    </row>
    <row r="5" spans="1:2" x14ac:dyDescent="0.25">
      <c r="A5" t="s">
        <v>3</v>
      </c>
      <c r="B5" s="4">
        <v>0.35</v>
      </c>
    </row>
    <row r="6" spans="1:2" x14ac:dyDescent="0.25">
      <c r="A6" t="s">
        <v>4</v>
      </c>
      <c r="B6" s="3">
        <v>290</v>
      </c>
    </row>
    <row r="7" spans="1:2" x14ac:dyDescent="0.25">
      <c r="A7" t="s">
        <v>5</v>
      </c>
      <c r="B7" s="3">
        <v>6500</v>
      </c>
    </row>
    <row r="8" spans="1:2" x14ac:dyDescent="0.25">
      <c r="A8" t="s">
        <v>6</v>
      </c>
      <c r="B8" s="3">
        <v>4200</v>
      </c>
    </row>
    <row r="9" spans="1:2" x14ac:dyDescent="0.25">
      <c r="A9" t="s">
        <v>7</v>
      </c>
      <c r="B9" s="4">
        <v>0.12</v>
      </c>
    </row>
    <row r="11" spans="1:3" x14ac:dyDescent="0.25">
      <c r="A11" s="2" t="s">
        <v>8</v>
      </c>
      <c r="B11" s="2"/>
      <c r="C11" s="2"/>
    </row>
    <row r="12" spans="1:2" x14ac:dyDescent="0.25">
      <c r="A12" t="s">
        <v>9</v>
      </c>
      <c r="B12" s="5">
        <f>B4*(1-B5)</f>
      </c>
    </row>
    <row r="13" spans="1:2" x14ac:dyDescent="0.25">
      <c r="A13" t="s">
        <v>10</v>
      </c>
      <c r="B13" s="5">
        <f>B12+B6</f>
      </c>
    </row>
    <row r="14" spans="1:2" x14ac:dyDescent="0.25">
      <c r="A14" t="s">
        <v>11</v>
      </c>
      <c r="B14" s="6">
        <f>B13/B7</f>
      </c>
    </row>
    <row r="15" spans="1:2" x14ac:dyDescent="0.25">
      <c r="A15" t="s">
        <v>12</v>
      </c>
      <c r="B15" s="6">
        <f>B12/B8</f>
      </c>
    </row>
    <row r="17" spans="1:3" x14ac:dyDescent="0.25">
      <c r="A17" s="2" t="s">
        <v>13</v>
      </c>
      <c r="B17" s="2"/>
      <c r="C17" s="2"/>
    </row>
    <row r="18" ht="32" customHeight="1" spans="1:3" x14ac:dyDescent="0.25">
      <c r="A18" s="7">
        <f>IF(B14&gt;=B9,"CFROI "&amp;TEXT(B14,"0.0%")&amp;" supera al costo real "&amp;TEXT(B9,"0.0%")&amp;": se crea valor REAL. Resiste inflacion y activos a valor corriente.","CFROI "&amp;TEXT(B14,"0.0%")&amp;" &lt; costo real "&amp;TEXT(B9,"0.0%")&amp;": no se crea valor real. La brecha vs ROIC contable "&amp;TEXT(B15,"0.0%")&amp;" es la huella de la distorsion.")</f>
      </c>
      <c r="B18" s="7"/>
      <c r="C18" s="7"/>
    </row>
  </sheetData>
  <mergeCells count="5">
    <mergeCell ref="A1:C1"/>
    <mergeCell ref="A3:C3"/>
    <mergeCell ref="A11:C11"/>
    <mergeCell ref="A17:C17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