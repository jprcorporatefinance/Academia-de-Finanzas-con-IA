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5" state="visible" r:id="rId4"/>
  </sheets>
  <calcPr calcId="171027"/>
</workbook>
</file>

<file path=xl/sharedStrings.xml><?xml version="1.0" encoding="utf-8"?>
<sst xmlns="http://schemas.openxmlformats.org/spreadsheetml/2006/main" count="14" uniqueCount="14">
  <si>
    <t>MODELO · S6 Ítem 5 — Reconciliación FCFF = FCFE + FCFD</t>
  </si>
  <si>
    <t>1) VARIABLES (celdas amarillas — editá)</t>
  </si>
  <si>
    <t>FCFF (flujo de la firma)</t>
  </si>
  <si>
    <t>Intereses</t>
  </si>
  <si>
    <t>Tasa de impuesto</t>
  </si>
  <si>
    <t>Nueva deuda tomada</t>
  </si>
  <si>
    <t>Amortización de deuda (capital)</t>
  </si>
  <si>
    <t>2) INDICADORES</t>
  </si>
  <si>
    <t>Intereses después de impuesto</t>
  </si>
  <si>
    <t>Δ Deuda neta (nueva − amortización)</t>
  </si>
  <si>
    <t>FCFE (accionista)</t>
  </si>
  <si>
    <t>FCFD (acreedor)</t>
  </si>
  <si>
    <t>FCFE + FCFD (debe igualar al FCFF)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</si>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</sst>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164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-330.5</v>
      </c>
    </row>
    <row r="5" spans="1:2" x14ac:dyDescent="0.25">
      <c r="A5" t="s">
        <v>3</v>
      </c>
      <c r="B5" s="3">
        <v>560</v>
      </c>
    </row>
    <row r="6" spans="1:2" x14ac:dyDescent="0.25">
      <c r="A6" t="s">
        <v>4</v>
      </c>
      <c r="B6" s="4">
        <v>0.35</v>
      </c>
    </row>
    <row r="7" spans="1:2" x14ac:dyDescent="0.25">
      <c r="A7" t="s">
        <v>5</v>
      </c>
      <c r="B7" s="3">
        <v>230</v>
      </c>
    </row>
    <row r="8" spans="1:2" x14ac:dyDescent="0.25">
      <c r="A8" t="s">
        <v>6</v>
      </c>
      <c r="B8" s="3">
        <v>150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5">
        <f>B5*(1-B6)</f>
      </c>
    </row>
    <row r="12" spans="1:2" x14ac:dyDescent="0.25">
      <c r="A12" t="s">
        <v>9</v>
      </c>
      <c r="B12" s="5">
        <f>B7-B8</f>
      </c>
    </row>
    <row r="13" spans="1:2" x14ac:dyDescent="0.25">
      <c r="A13" t="s">
        <v>10</v>
      </c>
      <c r="B13" s="5">
        <f>B4-B11+B12</f>
      </c>
    </row>
    <row r="14" spans="1:2" x14ac:dyDescent="0.25">
      <c r="A14" t="s">
        <v>11</v>
      </c>
      <c r="B14" s="5">
        <f>B11+B8-B7</f>
      </c>
    </row>
    <row r="15" spans="1:2" x14ac:dyDescent="0.25">
      <c r="A15" t="s">
        <v>12</v>
      </c>
      <c r="B15" s="5">
        <f>B13+B14</f>
      </c>
    </row>
    <row r="17" spans="1:3" x14ac:dyDescent="0.25">
      <c r="A17" s="2" t="s">
        <v>13</v>
      </c>
      <c r="B17" s="2"/>
      <c r="C17" s="2"/>
    </row>
    <row r="18" ht="32" customHeight="1" spans="1:3" x14ac:dyDescent="0.25">
      <c r="A18" s="6">
        <f>IF(ABS(B15-B4)&lt;0.01,"La identidad cierra: FCFE ("&amp;TEXT(B13,"0")&amp;") + FCFD ("&amp;TEXT(B14,"0")&amp;") = FCFF ("&amp;TEXT(B4,"0")&amp;"). Modelo consistente.","La identidad NO cierra: FCFE+FCFD = "&amp;TEXT(B15,"0")&amp;" &lt;&gt; FCFF "&amp;TEXT(B4,"0")&amp;". Hay error de consistencia; revisa los puentes.")</f>
      </c>
      <c r="B18" s="6"/>
      <c r="C18" s="6"/>
    </row>
  </sheetData>
  <mergeCells count="5">
    <mergeCell ref="A1:C1"/>
    <mergeCell ref="A3:C3"/>
    <mergeCell ref="A10:C10"/>
    <mergeCell ref="A17:C17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