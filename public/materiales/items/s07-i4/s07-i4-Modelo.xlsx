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4" state="visible" r:id="rId4"/>
  </sheets>
  <calcPr calcId="171027"/>
</workbook>
</file>

<file path=xl/sharedStrings.xml><?xml version="1.0" encoding="utf-8"?>
<sst xmlns="http://schemas.openxmlformats.org/spreadsheetml/2006/main" count="16" uniqueCount="16">
  <si>
    <t>MODELO · S7 Ítem 4 — Aging-reclamo — recupero esperado y previsión</t>
  </si>
  <si>
    <t>1) VARIABLES (celdas amarillas — editá)</t>
  </si>
  <si>
    <t>Corriente / no vencido</t>
  </si>
  <si>
    <t>Vencido 1-60 días</t>
  </si>
  <si>
    <t>Vencido 61-120 días</t>
  </si>
  <si>
    <t>+120 días sin gestión (zona crítica)</t>
  </si>
  <si>
    <t>Prob. recupero tramo 1-60</t>
  </si>
  <si>
    <t>Prob. recupero tramo 61-120</t>
  </si>
  <si>
    <t>Prob. recupero zona crítica</t>
  </si>
  <si>
    <t>2) INDICADORES</t>
  </si>
  <si>
    <t>Cartera total</t>
  </si>
  <si>
    <t>Recupero esperado</t>
  </si>
  <si>
    <t>% recuperable esperado</t>
  </si>
  <si>
    <t>Previsión por incobrables</t>
  </si>
  <si>
    <t>Riesgo en zona crítica (% cartera)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</si>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</sst>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1000</v>
      </c>
    </row>
    <row r="5" spans="1:2" x14ac:dyDescent="0.25">
      <c r="A5" t="s">
        <v>3</v>
      </c>
      <c r="B5" s="3">
        <v>360</v>
      </c>
    </row>
    <row r="6" spans="1:2" x14ac:dyDescent="0.25">
      <c r="A6" t="s">
        <v>4</v>
      </c>
      <c r="B6" s="3">
        <v>200</v>
      </c>
    </row>
    <row r="7" spans="1:2" x14ac:dyDescent="0.25">
      <c r="A7" t="s">
        <v>5</v>
      </c>
      <c r="B7" s="3">
        <v>290</v>
      </c>
    </row>
    <row r="8" spans="1:2" x14ac:dyDescent="0.25">
      <c r="A8" t="s">
        <v>6</v>
      </c>
      <c r="B8" s="4">
        <v>0.85</v>
      </c>
    </row>
    <row r="9" spans="1:2" x14ac:dyDescent="0.25">
      <c r="A9" t="s">
        <v>7</v>
      </c>
      <c r="B9" s="4">
        <v>0.55</v>
      </c>
    </row>
    <row r="10" spans="1:2" x14ac:dyDescent="0.25">
      <c r="A10" t="s">
        <v>8</v>
      </c>
      <c r="B10" s="4">
        <v>0.15</v>
      </c>
    </row>
    <row r="12" spans="1:3" x14ac:dyDescent="0.25">
      <c r="A12" s="2" t="s">
        <v>9</v>
      </c>
      <c r="B12" s="2"/>
      <c r="C12" s="2"/>
    </row>
    <row r="13" spans="1:2" x14ac:dyDescent="0.25">
      <c r="A13" t="s">
        <v>10</v>
      </c>
      <c r="B13" s="5">
        <f>B4+B5+B6+B7</f>
      </c>
    </row>
    <row r="14" spans="1:2" x14ac:dyDescent="0.25">
      <c r="A14" t="s">
        <v>11</v>
      </c>
      <c r="B14" s="5">
        <f>B4+B5*B8+B6*B9+B7*B10</f>
      </c>
    </row>
    <row r="15" spans="1:2" x14ac:dyDescent="0.25">
      <c r="A15" t="s">
        <v>12</v>
      </c>
      <c r="B15" s="6">
        <f>B14/B13</f>
      </c>
    </row>
    <row r="16" spans="1:2" x14ac:dyDescent="0.25">
      <c r="A16" t="s">
        <v>13</v>
      </c>
      <c r="B16" s="5">
        <f>B13-B14</f>
      </c>
    </row>
    <row r="17" spans="1:2" x14ac:dyDescent="0.25">
      <c r="A17" t="s">
        <v>14</v>
      </c>
      <c r="B17" s="6">
        <f>B7/B13</f>
      </c>
    </row>
    <row r="19" spans="1:3" x14ac:dyDescent="0.25">
      <c r="A19" s="2" t="s">
        <v>15</v>
      </c>
      <c r="B19" s="2"/>
      <c r="C19" s="2"/>
    </row>
    <row r="20" ht="32" customHeight="1" spans="1:3" x14ac:dyDescent="0.25">
      <c r="A20" s="7">
        <f>IF(B17&lt;=0.1,"Zona critica contenida ("&amp;TEXT(B17,"0.0%")&amp;" de la cartera). Recupero esperado "&amp;TEXT(B14,"#,##0")&amp;" ("&amp;TEXT(B15,"0.0%")&amp;" recuperable).","Zona critica alta ("&amp;TEXT(B17,"0.0%")&amp;"): plata abandonada. Prevision "&amp;TEXT(B16,"#,##0")&amp;". Ahi esta el mayor retorno de cobranza.")</f>
      </c>
      <c r="B20" s="7"/>
      <c r="C20" s="7"/>
    </row>
  </sheetData>
  <mergeCells count="5">
    <mergeCell ref="A1:C1"/>
    <mergeCell ref="A3:C3"/>
    <mergeCell ref="A12:C12"/>
    <mergeCell ref="A19:C19"/>
    <mergeCell ref="A20:C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