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<sst xmlns="http://schemas.openxmlformats.org/spreadsheetml/2006/main" count="14" uniqueCount="14">
  <si>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S7 Ítem 5 — Proveedores — financiamiento no oneroso vs. descuento</t>
  </si>
  <si>
    <t>1) VARIABLES (celdas amarillas — editá)</t>
  </si>
  <si>
    <t>Compras anuales (a CMV)</t>
  </si>
  <si>
    <t>DPO actual (días de pago)</t>
  </si>
  <si>
    <t>DPO objetivo (días)</t>
  </si>
  <si>
    <t>Descuento por pronto pago</t>
  </si>
  <si>
    <t>Plazo de pronto pago (días)</t>
  </si>
  <si>
    <t>Plazo total ofrecido (días)</t>
  </si>
  <si>
    <t>Costo del descubierto (TNA)</t>
  </si>
  <si>
    <t>2) INDICADORES</t>
  </si>
  <si>
    <t>Caja liberada por estirar el DPO</t>
  </si>
  <si>
    <t>Ahorro financiero anual (vs descubierto)</t>
  </si>
  <si>
    <t>Costo implícito de resignar el descuento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</si>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</sst>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días&quot;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3" fontId="4" fillId="5" borderId="0" xfId="0" applyNumberFormat="1" applyFont="1" applyFill="1"/>
    <xf numFmtId="165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5740</v>
      </c>
    </row>
    <row r="5" spans="1:2" x14ac:dyDescent="0.25">
      <c r="A5" t="s">
        <v>3</v>
      </c>
      <c r="B5" s="4">
        <v>81</v>
      </c>
    </row>
    <row r="6" spans="1:2" x14ac:dyDescent="0.25">
      <c r="A6" t="s">
        <v>4</v>
      </c>
      <c r="B6" s="4">
        <v>110</v>
      </c>
    </row>
    <row r="7" spans="1:2" x14ac:dyDescent="0.25">
      <c r="A7" t="s">
        <v>5</v>
      </c>
      <c r="B7" s="5">
        <v>0.02</v>
      </c>
    </row>
    <row r="8" spans="1:2" x14ac:dyDescent="0.25">
      <c r="A8" t="s">
        <v>6</v>
      </c>
      <c r="B8" s="4">
        <v>10</v>
      </c>
    </row>
    <row r="9" spans="1:2" x14ac:dyDescent="0.25">
      <c r="A9" t="s">
        <v>7</v>
      </c>
      <c r="B9" s="4">
        <v>60</v>
      </c>
    </row>
    <row r="10" spans="1:2" x14ac:dyDescent="0.25">
      <c r="A10" t="s">
        <v>8</v>
      </c>
      <c r="B10" s="5">
        <v>0.85</v>
      </c>
    </row>
    <row r="12" spans="1:3" x14ac:dyDescent="0.25">
      <c r="A12" s="2" t="s">
        <v>9</v>
      </c>
      <c r="B12" s="2"/>
      <c r="C12" s="2"/>
    </row>
    <row r="13" spans="1:2" x14ac:dyDescent="0.25">
      <c r="A13" t="s">
        <v>10</v>
      </c>
      <c r="B13" s="6">
        <f>(B6-B5)/365*B4</f>
      </c>
    </row>
    <row r="14" spans="1:2" x14ac:dyDescent="0.25">
      <c r="A14" t="s">
        <v>11</v>
      </c>
      <c r="B14" s="6">
        <f>B13*B10</f>
      </c>
    </row>
    <row r="15" spans="1:2" x14ac:dyDescent="0.25">
      <c r="A15" t="s">
        <v>12</v>
      </c>
      <c r="B15" s="7">
        <f>B7/(1-B7)*(365/(B9-B8))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8">
        <f>IF(B15&gt;B10,"Resignar el descuento ("&amp;TEXT(B15,"0.0%")&amp;" anual) sale MAS caro que el descubierto ("&amp;TEXT(B10,"0.0%")&amp;"): tomar el pronto pago.","Estirar el DPO libera "&amp;TEXT(B13,"#,##0")&amp;" y ahorra "&amp;TEXT(B14,"#,##0")&amp;" vs descubierto. Costo de estirar "&amp;TEXT(B15,"0.0%")&amp;" &lt; "&amp;TEXT(B10,"0.0%")&amp;": conviene financiarse con el proveedor.")</f>
      </c>
      <c r="B18" s="8"/>
      <c r="C18" s="8"/>
    </row>
  </sheetData>
  <mergeCells count="5">
    <mergeCell ref="A1:C1"/>
    <mergeCell ref="A3:C3"/>
    <mergeCell ref="A12:C12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