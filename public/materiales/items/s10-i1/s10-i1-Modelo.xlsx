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1" state="visible" r:id="rId4"/>
  </sheets>
  <calcPr calcId="171027"/>
</workbook>
</file>

<file path=xl/sharedStrings.xml><?xml version="1.0" encoding="utf-8"?>
<sst xmlns="http://schemas.openxmlformats.org/spreadsheetml/2006/main" count="12" uniqueCount="12">
  <si>
    <t>MODELO · S10 Ítem 1 — ROE apalancado — la deuda como multiplicador</t>
  </si>
  <si>
    <t>1) VARIABLES (celdas amarillas — editá)</t>
  </si>
  <si>
    <t>ROIC (rinde el capital)</t>
  </si>
  <si>
    <t>Costo de la deuda (i, antes de impuesto)</t>
  </si>
  <si>
    <t>Tasa de impuesto</t>
  </si>
  <si>
    <t>Razón deuda/equity (D/E)</t>
  </si>
  <si>
    <t>2) INDICADORES</t>
  </si>
  <si>
    <t>Costo de deuda después de impuesto</t>
  </si>
  <si>
    <t>Spread (ROIC − i·(1−t))</t>
  </si>
  <si>
    <t>Efecto del apalancamiento</t>
  </si>
  <si>
    <t>ROE apalancado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</si>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</sst>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164" fontId="3" fillId="4" borderId="1" xfId="0" applyNumberFormat="1" applyFont="1" applyFill="1" applyBorder="1"/>
    <xf numFmtId="4" fontId="3" fillId="4" borderId="1" xfId="0" applyNumberFormat="1" applyFont="1" applyFill="1" applyBorder="1"/>
    <xf numFmtId="164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0.14</v>
      </c>
    </row>
    <row r="5" spans="1:2" x14ac:dyDescent="0.25">
      <c r="A5" t="s">
        <v>3</v>
      </c>
      <c r="B5" s="3">
        <v>0.18</v>
      </c>
    </row>
    <row r="6" spans="1:2" x14ac:dyDescent="0.25">
      <c r="A6" t="s">
        <v>4</v>
      </c>
      <c r="B6" s="3">
        <v>0.35</v>
      </c>
    </row>
    <row r="7" spans="1:2" x14ac:dyDescent="0.25">
      <c r="A7" t="s">
        <v>5</v>
      </c>
      <c r="B7" s="4">
        <v>1</v>
      </c>
    </row>
    <row r="9" spans="1:3" x14ac:dyDescent="0.25">
      <c r="A9" s="2" t="s">
        <v>6</v>
      </c>
      <c r="B9" s="2"/>
      <c r="C9" s="2"/>
    </row>
    <row r="10" spans="1:2" x14ac:dyDescent="0.25">
      <c r="A10" t="s">
        <v>7</v>
      </c>
      <c r="B10" s="5">
        <f>B5*(1-B6)</f>
      </c>
    </row>
    <row r="11" spans="1:2" x14ac:dyDescent="0.25">
      <c r="A11" t="s">
        <v>8</v>
      </c>
      <c r="B11" s="5">
        <f>B4-B10</f>
      </c>
    </row>
    <row r="12" spans="1:2" x14ac:dyDescent="0.25">
      <c r="A12" t="s">
        <v>9</v>
      </c>
      <c r="B12" s="5">
        <f>B11*B7</f>
      </c>
    </row>
    <row r="13" spans="1:2" x14ac:dyDescent="0.25">
      <c r="A13" t="s">
        <v>10</v>
      </c>
      <c r="B13" s="5">
        <f>B4+B11*B7</f>
      </c>
    </row>
    <row r="15" spans="1:3" x14ac:dyDescent="0.25">
      <c r="A15" s="2" t="s">
        <v>11</v>
      </c>
      <c r="B15" s="2"/>
      <c r="C15" s="2"/>
    </row>
    <row r="16" ht="32" customHeight="1" spans="1:3" x14ac:dyDescent="0.25">
      <c r="A16" s="6">
        <f>IF(B4&gt;=B10,"El ROIC ("&amp;TEXT(B4,"0.0%")&amp;") supera al costo de la deuda post impuesto ("&amp;TEXT(B10,"0.0%")&amp;"): la palanca juega A FAVOR. ROE "&amp;TEXT(B13,"0.0%")&amp;" &gt; ROIC. Subir D/E agranda retorno y riesgo.","El ROIC es menor al costo de la deuda: la palanca juega EN CONTRA. ROE "&amp;TEXT(B13,"0.0%")&amp;" &lt; ROIC. Mas deuda hunde mas el retorno.")</f>
      </c>
      <c r="B16" s="6"/>
      <c r="C16" s="6"/>
    </row>
  </sheetData>
  <mergeCells count="5">
    <mergeCell ref="A1:C1"/>
    <mergeCell ref="A3:C3"/>
    <mergeCell ref="A9:C9"/>
    <mergeCell ref="A15:C15"/>
    <mergeCell ref="A16:C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