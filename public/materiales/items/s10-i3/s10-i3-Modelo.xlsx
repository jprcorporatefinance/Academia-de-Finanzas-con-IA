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3" state="visible" r:id="rId4"/>
  </sheets>
  <calcPr calcId="171027"/>
</workbook>
</file>

<file path=xl/sharedStrings.xml><?xml version="1.0" encoding="utf-8"?>
<sst xmlns="http://schemas.openxmlformats.org/spreadsheetml/2006/main" count="14" uniqueCount="14">
  <si>
    <t>MODELO · S10 Ítem 3 — Escudo fiscal riesgoso (tasa psi de Vélez-Pareja)</t>
  </si>
  <si>
    <t>1) VARIABLES (celdas amarillas — editá)</t>
  </si>
  <si>
    <t>Intereses anuales (FE)</t>
  </si>
  <si>
    <t>Tasa de impuesto (Tc)</t>
  </si>
  <si>
    <t>Kd (costo de la deuda)</t>
  </si>
  <si>
    <t>Ku (costo desapalancado)</t>
  </si>
  <si>
    <t>Peso del riesgo operativo (W_EBITO)</t>
  </si>
  <si>
    <t>Crecimiento perpetuo (g)</t>
  </si>
  <si>
    <t>2) INDICADORES</t>
  </si>
  <si>
    <t>Ahorro fiscal anual (Tc·FE)</t>
  </si>
  <si>
    <t>Tasa ponderada psi</t>
  </si>
  <si>
    <t>VP escudo riesgoso (a psi)</t>
  </si>
  <si>
    <t>VP escudo "de manual" (a Kd)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</si>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</sst>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560</v>
      </c>
    </row>
    <row r="5" spans="1:2" x14ac:dyDescent="0.25">
      <c r="A5" t="s">
        <v>3</v>
      </c>
      <c r="B5" s="4">
        <v>0.35</v>
      </c>
    </row>
    <row r="6" spans="1:2" x14ac:dyDescent="0.25">
      <c r="A6" t="s">
        <v>4</v>
      </c>
      <c r="B6" s="4">
        <v>0.18</v>
      </c>
    </row>
    <row r="7" spans="1:2" x14ac:dyDescent="0.25">
      <c r="A7" t="s">
        <v>5</v>
      </c>
      <c r="B7" s="4">
        <v>0.22</v>
      </c>
    </row>
    <row r="8" spans="1:2" x14ac:dyDescent="0.25">
      <c r="A8" t="s">
        <v>6</v>
      </c>
      <c r="B8" s="4">
        <v>0.99</v>
      </c>
    </row>
    <row r="9" spans="1:2" x14ac:dyDescent="0.25">
      <c r="A9" t="s">
        <v>7</v>
      </c>
      <c r="B9" s="4">
        <v>0.03</v>
      </c>
    </row>
    <row r="11" spans="1:3" x14ac:dyDescent="0.25">
      <c r="A11" s="2" t="s">
        <v>8</v>
      </c>
      <c r="B11" s="2"/>
      <c r="C11" s="2"/>
    </row>
    <row r="12" spans="1:2" x14ac:dyDescent="0.25">
      <c r="A12" t="s">
        <v>9</v>
      </c>
      <c r="B12" s="5">
        <f>B5*B4</f>
      </c>
    </row>
    <row r="13" spans="1:2" x14ac:dyDescent="0.25">
      <c r="A13" t="s">
        <v>10</v>
      </c>
      <c r="B13" s="6">
        <f>(1-B8)*B6+B8*B7</f>
      </c>
    </row>
    <row r="14" spans="1:2" x14ac:dyDescent="0.25">
      <c r="A14" t="s">
        <v>11</v>
      </c>
      <c r="B14" s="5">
        <f>IF(B13&gt;B9,B12/(B13-B9),NA())</f>
      </c>
    </row>
    <row r="15" spans="1:2" x14ac:dyDescent="0.25">
      <c r="A15" t="s">
        <v>12</v>
      </c>
      <c r="B15" s="5">
        <f>IF(B6&gt;B9,B12/(B6-B9),NA())</f>
      </c>
    </row>
    <row r="17" spans="1:3" x14ac:dyDescent="0.25">
      <c r="A17" s="2" t="s">
        <v>13</v>
      </c>
      <c r="B17" s="2"/>
      <c r="C17" s="2"/>
    </row>
    <row r="18" ht="32" customHeight="1" spans="1:3" x14ac:dyDescent="0.25">
      <c r="A18" s="7">
        <f>IF(B13&gt;B6,"Al reconocer el riesgo operativo, psi ("&amp;TEXT(B13,"0.0%")&amp;") supera a Kd ("&amp;TEXT(B6,"0.0%")&amp;"): el escudo riesgoso vale "&amp;TEXT(B14,"#,##0")&amp;" vs "&amp;TEXT(B15,"#,##0")&amp;" del manual. Evitas esa sobrevaloracion.","Con W_EBITO bajo el escudo se trata casi como deuda segura: sobrevalora en una PyME volatil.")</f>
      </c>
      <c r="B18" s="7"/>
      <c r="C18" s="7"/>
    </row>
  </sheetData>
  <mergeCells count="5">
    <mergeCell ref="A1:C1"/>
    <mergeCell ref="A3:C3"/>
    <mergeCell ref="A11:C11"/>
    <mergeCell ref="A17:C17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