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<sst xmlns="http://schemas.openxmlformats.org/spreadsheetml/2006/main" count="13" uniqueCount="13">
  <si>
    <t>MODELO · S10 Ítem 4 — Dificultades financieras — Altman Z'' EMS y costo esperado</t>
  </si>
  <si>
    <t>1) VARIABLES (celdas amarillas — editá)</t>
  </si>
  <si>
    <t>X1 = Capital de trabajo / Activos</t>
  </si>
  <si>
    <t>X2 = Utilidades retenidas / Activos</t>
  </si>
  <si>
    <t>X3 = EBIT / Activos</t>
  </si>
  <si>
    <t>X4 = Patrimonio (libros) / Pasivos</t>
  </si>
  <si>
    <t>Valor de los activos</t>
  </si>
  <si>
    <t>Costos ex-post (% del valor si quiebra)</t>
  </si>
  <si>
    <t>2) INDICADORES</t>
  </si>
  <si>
    <t>Altman Z'' EMS</t>
  </si>
  <si>
    <t>P(default) aproximada por zona</t>
  </si>
  <si>
    <t>Costo esperado de dificultades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</si>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</sst>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4" fontId="3" fillId="4" borderId="1" xfId="0" applyNumberFormat="1" applyFont="1" applyFill="1" applyBorder="1"/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4" fontId="4" fillId="5" borderId="0" xfId="0" applyNumberFormat="1" applyFont="1" applyFill="1"/>
    <xf numFmtId="164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0.12</v>
      </c>
    </row>
    <row r="5" spans="1:2" x14ac:dyDescent="0.25">
      <c r="A5" t="s">
        <v>3</v>
      </c>
      <c r="B5" s="3">
        <v>0.18</v>
      </c>
    </row>
    <row r="6" spans="1:2" x14ac:dyDescent="0.25">
      <c r="A6" t="s">
        <v>4</v>
      </c>
      <c r="B6" s="3">
        <v>0.08</v>
      </c>
    </row>
    <row r="7" spans="1:2" x14ac:dyDescent="0.25">
      <c r="A7" t="s">
        <v>5</v>
      </c>
      <c r="B7" s="3">
        <v>0.6</v>
      </c>
    </row>
    <row r="8" spans="1:2" x14ac:dyDescent="0.25">
      <c r="A8" t="s">
        <v>6</v>
      </c>
      <c r="B8" s="4">
        <v>7000</v>
      </c>
    </row>
    <row r="9" spans="1:2" x14ac:dyDescent="0.25">
      <c r="A9" t="s">
        <v>7</v>
      </c>
      <c r="B9" s="5">
        <v>0.25</v>
      </c>
    </row>
    <row r="11" spans="1:3" x14ac:dyDescent="0.25">
      <c r="A11" s="2" t="s">
        <v>8</v>
      </c>
      <c r="B11" s="2"/>
      <c r="C11" s="2"/>
    </row>
    <row r="12" spans="1:2" x14ac:dyDescent="0.25">
      <c r="A12" t="s">
        <v>9</v>
      </c>
      <c r="B12" s="6">
        <f>3.25+6.56*B4+3.26*B5+6.72*B6+1.05*B7</f>
      </c>
    </row>
    <row r="13" spans="1:2" x14ac:dyDescent="0.25">
      <c r="A13" t="s">
        <v>10</v>
      </c>
      <c r="B13" s="7">
        <f>IF(B12&gt;2.6,0.02,IF(B12&gt;=1.1,0.1,0.3))</f>
      </c>
    </row>
    <row r="14" spans="1:2" x14ac:dyDescent="0.25">
      <c r="A14" t="s">
        <v>11</v>
      </c>
      <c r="B14" s="8">
        <f>B13*B9*B8</f>
      </c>
    </row>
    <row r="16" spans="1:3" x14ac:dyDescent="0.25">
      <c r="A16" s="2" t="s">
        <v>12</v>
      </c>
      <c r="B16" s="2"/>
      <c r="C16" s="2"/>
    </row>
    <row r="17" ht="32" customHeight="1" spans="1:3" x14ac:dyDescent="0.25">
      <c r="A17" s="9">
        <f>IF(B12&gt;2.6,"El Z'' ("&amp;TEXT(B12,"0.00")&amp;") esta en zona SEGURA: P(default) baja y costo esperado "&amp;TEXT(B14,"#,##0")&amp;". Hay margen para que el escudo supere a las dificultades.","El Z'' ("&amp;TEXT(B12,"0.00")&amp;") esta en zona gris/dificultades: costo esperado "&amp;TEXT(B14,"#,##0")&amp;". Cuidado con mas deuda.")</f>
      </c>
      <c r="B17" s="9"/>
      <c r="C17" s="9"/>
    </row>
  </sheetData>
  <mergeCells count="5">
    <mergeCell ref="A1:C1"/>
    <mergeCell ref="A3:C3"/>
    <mergeCell ref="A11:C11"/>
    <mergeCell ref="A16:C16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