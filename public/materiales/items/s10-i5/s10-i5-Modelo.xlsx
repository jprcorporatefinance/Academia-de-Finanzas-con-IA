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<sst xmlns="http://schemas.openxmlformats.org/spreadsheetml/2006/main" count="14" uniqueCount="14">
  <si>
    <t>MODELO · S10 Ítem 5 — Nivel óptimo de deuda y cobertura</t>
  </si>
  <si>
    <t>1) VARIABLES (celdas amarillas — editá)</t>
  </si>
  <si>
    <t>EBIT (resultado operativo)</t>
  </si>
  <si>
    <t>Intereses (deuda actual)</t>
  </si>
  <si>
    <t>Valor desapalancado (Vu)</t>
  </si>
  <si>
    <t>Tasa de impuesto (Tc)</t>
  </si>
  <si>
    <t>Kd (costo de la deuda)</t>
  </si>
  <si>
    <t>Costo esperado de dificultades</t>
  </si>
  <si>
    <t>2) INDICADORES</t>
  </si>
  <si>
    <t>Cobertura de intereses (EBIT/Int)</t>
  </si>
  <si>
    <t>Deuda implícita (Intereses/Kd)</t>
  </si>
  <si>
    <t>VP del escudo (Tc·D)</t>
  </si>
  <si>
    <t>Valor firma (Vu + escudo − dificultades)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</si>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</sst>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&quot;x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165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830</v>
      </c>
    </row>
    <row r="5" spans="1:2" x14ac:dyDescent="0.25">
      <c r="A5" t="s">
        <v>3</v>
      </c>
      <c r="B5" s="3">
        <v>560</v>
      </c>
    </row>
    <row r="6" spans="1:2" x14ac:dyDescent="0.25">
      <c r="A6" t="s">
        <v>4</v>
      </c>
      <c r="B6" s="3">
        <v>4200</v>
      </c>
    </row>
    <row r="7" spans="1:2" x14ac:dyDescent="0.25">
      <c r="A7" t="s">
        <v>5</v>
      </c>
      <c r="B7" s="4">
        <v>0.35</v>
      </c>
    </row>
    <row r="8" spans="1:2" x14ac:dyDescent="0.25">
      <c r="A8" t="s">
        <v>6</v>
      </c>
      <c r="B8" s="4">
        <v>0.18</v>
      </c>
    </row>
    <row r="9" spans="1:2" x14ac:dyDescent="0.25">
      <c r="A9" t="s">
        <v>7</v>
      </c>
      <c r="B9" s="3">
        <v>350</v>
      </c>
    </row>
    <row r="11" spans="1:3" x14ac:dyDescent="0.25">
      <c r="A11" s="2" t="s">
        <v>8</v>
      </c>
      <c r="B11" s="2"/>
      <c r="C11" s="2"/>
    </row>
    <row r="12" spans="1:2" x14ac:dyDescent="0.25">
      <c r="A12" t="s">
        <v>9</v>
      </c>
      <c r="B12" s="5">
        <f>IF(B5&gt;0,B4/B5,NA())</f>
      </c>
    </row>
    <row r="13" spans="1:2" x14ac:dyDescent="0.25">
      <c r="A13" t="s">
        <v>10</v>
      </c>
      <c r="B13" s="6">
        <f>IF(B8&gt;0,B5/B8,NA())</f>
      </c>
    </row>
    <row r="14" spans="1:2" x14ac:dyDescent="0.25">
      <c r="A14" t="s">
        <v>11</v>
      </c>
      <c r="B14" s="6">
        <f>IF(B8&gt;0,B7*B13,NA())</f>
      </c>
    </row>
    <row r="15" spans="1:2" x14ac:dyDescent="0.25">
      <c r="A15" t="s">
        <v>12</v>
      </c>
      <c r="B15" s="6">
        <f>IF(B8&gt;0,B6+B14-B9,NA())</f>
      </c>
    </row>
    <row r="17" spans="1:3" x14ac:dyDescent="0.25">
      <c r="A17" s="2" t="s">
        <v>13</v>
      </c>
      <c r="B17" s="2"/>
      <c r="C17" s="2"/>
    </row>
    <row r="18" ht="32" customHeight="1" spans="1:3" x14ac:dyDescent="0.25">
      <c r="A18" s="7">
        <f>IF(B12&gt;=2,"Cobertura "&amp;TEXT(B12,"0.0")&amp;"x: el operativo cubre con holgura. Hay margen para que el escudo compense las dificultades. Lado sano del optimo.","Cobertura "&amp;TEXT(B12,"0.0")&amp;"x (Andina ~1.5x): el operativo apenas tapa los intereses. El riesgo pesa mas que el escudo: desapalancar o abaratar la deuda.")</f>
      </c>
      <c r="B18" s="7"/>
      <c r="C18" s="7"/>
    </row>
  </sheetData>
  <mergeCells count="5">
    <mergeCell ref="A1:C1"/>
    <mergeCell ref="A3:C3"/>
    <mergeCell ref="A11:C11"/>
    <mergeCell ref="A17:C17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