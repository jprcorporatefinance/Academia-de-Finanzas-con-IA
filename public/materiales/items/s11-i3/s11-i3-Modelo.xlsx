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<sst xmlns="http://schemas.openxmlformats.org/spreadsheetml/2006/main" count="12" uniqueCount="12">
  <si>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S11 Ítem 3 — Costo Financiero Total (CFT)</t>
  </si>
  <si>
    <t>1) VARIABLES (celdas amarillas — editá)</t>
  </si>
  <si>
    <t>Monto del préstamo</t>
  </si>
  <si>
    <t>TEA (solo intereses)</t>
  </si>
  <si>
    <t>Comisiones y gastos (% del monto)</t>
  </si>
  <si>
    <t>Impuestos y sellados (% del monto)</t>
  </si>
  <si>
    <t>2) INDICADORES</t>
  </si>
  <si>
    <t>Cargos no financieros (% del monto)</t>
  </si>
  <si>
    <t>Neto efectivamente recibido</t>
  </si>
  <si>
    <t>Costo Financiero Total (CFT)</t>
  </si>
  <si>
    <t>Brecha CFT − TEA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</si>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</sst>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1000</v>
      </c>
    </row>
    <row r="5" spans="1:2" x14ac:dyDescent="0.25">
      <c r="A5" t="s">
        <v>3</v>
      </c>
      <c r="B5" s="4">
        <v>0.6</v>
      </c>
    </row>
    <row r="6" spans="1:2" x14ac:dyDescent="0.25">
      <c r="A6" t="s">
        <v>4</v>
      </c>
      <c r="B6" s="4">
        <v>0.05</v>
      </c>
    </row>
    <row r="7" spans="1:2" x14ac:dyDescent="0.25">
      <c r="A7" t="s">
        <v>5</v>
      </c>
      <c r="B7" s="4">
        <v>0.03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B6+B7</f>
      </c>
    </row>
    <row r="11" spans="1:2" x14ac:dyDescent="0.25">
      <c r="A11" t="s">
        <v>8</v>
      </c>
      <c r="B11" s="6">
        <f>B4*(1-B6-B7)</f>
      </c>
    </row>
    <row r="12" spans="1:2" x14ac:dyDescent="0.25">
      <c r="A12" t="s">
        <v>9</v>
      </c>
      <c r="B12" s="5">
        <f>(1+B5)/(1-B6-B7)-1</f>
      </c>
    </row>
    <row r="13" spans="1:2" x14ac:dyDescent="0.25">
      <c r="A13" t="s">
        <v>10</v>
      </c>
      <c r="B13" s="5">
        <f>B12-B5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7">
        <f>IF(B10&gt;0,"Las comisiones e impuestos hacen que el CFT ("&amp;TEXT(B12,"0.0%")&amp;") supere a la TEA ("&amp;TEXT(B5,"0.0%")&amp;"): brecha de "&amp;TEXT(B13,"0.0%")&amp;". Eso es lo que el cartel no muestra.","Sin cargos el CFT coincide con la TEA: caso ideal poco frecuente.")</f>
      </c>
      <c r="B16" s="7"/>
      <c r="C16" s="7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