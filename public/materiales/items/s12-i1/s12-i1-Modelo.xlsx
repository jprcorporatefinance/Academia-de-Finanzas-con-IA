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1" state="visible" r:id="rId4"/>
  </sheets>
  <calcPr calcId="171027"/>
</workbook>
</file>

<file path=xl/sharedStrings.xml><?xml version="1.0" encoding="utf-8"?>
<sst xmlns="http://schemas.openxmlformats.org/spreadsheetml/2006/main" count="14" uniqueCount="14">
  <si>
    <t>MODELO · S12 Ítem 1 — DCF — FCFF al WACC, EV y Equity Value</t>
  </si>
  <si>
    <t>1) VARIABLES (celdas amarillas — editá)</t>
  </si>
  <si>
    <t>FCFF normalizado (último año)</t>
  </si>
  <si>
    <t>Crecimiento perpetuo (g)</t>
  </si>
  <si>
    <t>WACC (tasa de descuento)</t>
  </si>
  <si>
    <t>VP de los flujos explícitos (años 1–5)</t>
  </si>
  <si>
    <t>Deuda financiera neta</t>
  </si>
  <si>
    <t>2) INDICADORES</t>
  </si>
  <si>
    <t>Valor terminal (Gordon)</t>
  </si>
  <si>
    <t>VP del valor terminal</t>
  </si>
  <si>
    <t>Enterprise Value</t>
  </si>
  <si>
    <t>Equity Value (EV − deuda neta)</t>
  </si>
  <si>
    <t>Peso del valor terminal en el EV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</si>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</sst>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3" fontId="4" fillId="5" borderId="0" xfId="0" applyNumberFormat="1" applyFont="1" applyFill="1"/>
    <xf numFmtId="16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305</v>
      </c>
    </row>
    <row r="5" spans="1:2" x14ac:dyDescent="0.25">
      <c r="A5" t="s">
        <v>3</v>
      </c>
      <c r="B5" s="4">
        <v>0.03</v>
      </c>
    </row>
    <row r="6" spans="1:2" x14ac:dyDescent="0.25">
      <c r="A6" t="s">
        <v>4</v>
      </c>
      <c r="B6" s="4">
        <v>0.21</v>
      </c>
    </row>
    <row r="7" spans="1:2" x14ac:dyDescent="0.25">
      <c r="A7" t="s">
        <v>5</v>
      </c>
      <c r="B7" s="3">
        <v>965</v>
      </c>
    </row>
    <row r="8" spans="1:2" x14ac:dyDescent="0.25">
      <c r="A8" t="s">
        <v>6</v>
      </c>
      <c r="B8" s="3">
        <v>1500</v>
      </c>
    </row>
    <row r="10" spans="1:3" x14ac:dyDescent="0.25">
      <c r="A10" s="2" t="s">
        <v>7</v>
      </c>
      <c r="B10" s="2"/>
      <c r="C10" s="2"/>
    </row>
    <row r="11" spans="1:2" x14ac:dyDescent="0.25">
      <c r="A11" t="s">
        <v>8</v>
      </c>
      <c r="B11" s="5">
        <f>IF(B6&gt;B5,B4*(1+B5)/(B6-B5),NA())</f>
      </c>
    </row>
    <row r="12" spans="1:2" x14ac:dyDescent="0.25">
      <c r="A12" t="s">
        <v>9</v>
      </c>
      <c r="B12" s="5">
        <f>IF(B6&gt;B5,B11/(1+B6)^5,NA())</f>
      </c>
    </row>
    <row r="13" spans="1:2" x14ac:dyDescent="0.25">
      <c r="A13" t="s">
        <v>10</v>
      </c>
      <c r="B13" s="5">
        <f>IF(B6&gt;B5,B7+B12,NA())</f>
      </c>
    </row>
    <row r="14" spans="1:2" x14ac:dyDescent="0.25">
      <c r="A14" t="s">
        <v>11</v>
      </c>
      <c r="B14" s="5">
        <f>IF(B6&gt;B5,B13-B8,NA())</f>
      </c>
    </row>
    <row r="15" spans="1:2" x14ac:dyDescent="0.25">
      <c r="A15" t="s">
        <v>12</v>
      </c>
      <c r="B15" s="6">
        <f>IF(B6&gt;B5,B12/B13,NA())</f>
      </c>
    </row>
    <row r="17" spans="1:3" x14ac:dyDescent="0.25">
      <c r="A17" s="2" t="s">
        <v>13</v>
      </c>
      <c r="B17" s="2"/>
      <c r="C17" s="2"/>
    </row>
    <row r="18" ht="32" customHeight="1" spans="1:3" x14ac:dyDescent="0.25">
      <c r="A18" s="7">
        <f>IF(B6&gt;B5,"Valuacion valida (WACC&gt;g). Equity Value = "&amp;TEXT(B14,"#,##0")&amp;"k. El valor terminal pesa "&amp;TEXT(B15,"0%")&amp;" del EV: si supera 50%, estresa WACC y g.","g es mayor o igual al WACC: la perpetuidad de Gordon se rompe. Baja g por debajo del WACC.")</f>
      </c>
      <c r="B18" s="7"/>
      <c r="C18" s="7"/>
    </row>
  </sheetData>
  <mergeCells count="5">
    <mergeCell ref="A1:C1"/>
    <mergeCell ref="A3:C3"/>
    <mergeCell ref="A10:C10"/>
    <mergeCell ref="A17:C17"/>
    <mergeCell ref="A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