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<sst xmlns="http://schemas.openxmlformats.org/spreadsheetml/2006/main" count="17" uniqueCount="17">
  <si>
    <t>MODELO · S12 Ítem 2 — APV — Vu + escudo fiscal − dificultades financieras</t>
  </si>
  <si>
    <t>1) VARIABLES (celdas amarillas — editá)</t>
  </si>
  <si>
    <t>FCFF normalizado (último año)</t>
  </si>
  <si>
    <t>Crecimiento perpetuo (g)</t>
  </si>
  <si>
    <t>Ku (costo desapalancado)</t>
  </si>
  <si>
    <t>VP flujos explícitos a Ku (años 1–5)</t>
  </si>
  <si>
    <t>Deuda financiera onerosa</t>
  </si>
  <si>
    <t>Tasa de impuesto</t>
  </si>
  <si>
    <t>Probabilidad anual de dificultades</t>
  </si>
  <si>
    <t>Costo si hay default</t>
  </si>
  <si>
    <t>2) INDICADORES</t>
  </si>
  <si>
    <t>Vu (valor desapalancado)</t>
  </si>
  <si>
    <t>VP del escudo fiscal (D × t)</t>
  </si>
  <si>
    <t>VP de dificultades financieras</t>
  </si>
  <si>
    <t>APV (valor de la firma)</t>
  </si>
  <si>
    <t>Efecto neto del financiamiento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</si>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</sst>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305</v>
      </c>
    </row>
    <row r="5" spans="1:2" x14ac:dyDescent="0.25">
      <c r="A5" t="s">
        <v>3</v>
      </c>
      <c r="B5" s="4">
        <v>0.03</v>
      </c>
    </row>
    <row r="6" spans="1:2" x14ac:dyDescent="0.25">
      <c r="A6" t="s">
        <v>4</v>
      </c>
      <c r="B6" s="4">
        <v>0.235</v>
      </c>
    </row>
    <row r="7" spans="1:2" x14ac:dyDescent="0.25">
      <c r="A7" t="s">
        <v>5</v>
      </c>
      <c r="B7" s="3">
        <v>914</v>
      </c>
    </row>
    <row r="8" spans="1:2" x14ac:dyDescent="0.25">
      <c r="A8" t="s">
        <v>6</v>
      </c>
      <c r="B8" s="3">
        <v>2570</v>
      </c>
    </row>
    <row r="9" spans="1:2" x14ac:dyDescent="0.25">
      <c r="A9" t="s">
        <v>7</v>
      </c>
      <c r="B9" s="4">
        <v>0.35</v>
      </c>
    </row>
    <row r="10" spans="1:2" x14ac:dyDescent="0.25">
      <c r="A10" t="s">
        <v>8</v>
      </c>
      <c r="B10" s="4">
        <v>0.05</v>
      </c>
    </row>
    <row r="11" spans="1:2" x14ac:dyDescent="0.25">
      <c r="A11" t="s">
        <v>9</v>
      </c>
      <c r="B11" s="3">
        <v>1200</v>
      </c>
    </row>
    <row r="13" spans="1:3" x14ac:dyDescent="0.25">
      <c r="A13" s="2" t="s">
        <v>10</v>
      </c>
      <c r="B13" s="2"/>
      <c r="C13" s="2"/>
    </row>
    <row r="14" spans="1:2" x14ac:dyDescent="0.25">
      <c r="A14" t="s">
        <v>11</v>
      </c>
      <c r="B14" s="5">
        <f>IF(B6&gt;B5,B7+((B4*(1+B5)/(B6-B5))/(1+B6)^5),NA())</f>
      </c>
    </row>
    <row r="15" spans="1:2" x14ac:dyDescent="0.25">
      <c r="A15" t="s">
        <v>12</v>
      </c>
      <c r="B15" s="5">
        <f>B8*B9</f>
      </c>
    </row>
    <row r="16" spans="1:2" x14ac:dyDescent="0.25">
      <c r="A16" t="s">
        <v>13</v>
      </c>
      <c r="B16" s="5">
        <f>(B10*B11)/B6</f>
      </c>
    </row>
    <row r="17" spans="1:2" x14ac:dyDescent="0.25">
      <c r="A17" t="s">
        <v>14</v>
      </c>
      <c r="B17" s="5">
        <f>IF(B6&gt;B5,B14+B15-B16,NA())</f>
      </c>
    </row>
    <row r="18" spans="1:2" x14ac:dyDescent="0.25">
      <c r="A18" t="s">
        <v>15</v>
      </c>
      <c r="B18" s="5">
        <f>B15-B16</f>
      </c>
    </row>
    <row r="20" spans="1:3" x14ac:dyDescent="0.25">
      <c r="A20" s="2" t="s">
        <v>16</v>
      </c>
      <c r="B20" s="2"/>
      <c r="C20" s="2"/>
    </row>
    <row r="21" ht="32" customHeight="1" spans="1:3" x14ac:dyDescent="0.25">
      <c r="A21" s="6">
        <f>IF(B18&gt;0,"El escudo fiscal ("&amp;TEXT(B15,"#,##0")&amp;"k) supera al costo de dificultades ("&amp;TEXT(B16,"#,##0")&amp;"k): la deuda AGREGA "&amp;TEXT(B18,"#,##0")&amp;"k. Aun asi, el grueso del APV es el Vu.","Las dificultades ("&amp;TEXT(B16,"#,##0")&amp;"k) superan al escudo ("&amp;TEXT(B15,"#,##0")&amp;"k): la deuda DESTRUYE valor. Desapalanca y abarata el Ku.")</f>
      </c>
      <c r="B21" s="6"/>
      <c r="C21" s="6"/>
    </row>
  </sheetData>
  <mergeCells count="5">
    <mergeCell ref="A1:C1"/>
    <mergeCell ref="A3:C3"/>
    <mergeCell ref="A13:C13"/>
    <mergeCell ref="A20:C20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