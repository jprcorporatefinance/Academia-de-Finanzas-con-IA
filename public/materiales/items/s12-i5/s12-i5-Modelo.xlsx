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5" state="visible" r:id="rId4"/>
  </sheets>
  <calcPr calcId="171027"/>
</workbook>
</file>

<file path=xl/sharedStrings.xml><?xml version="1.0" encoding="utf-8"?>
<sst xmlns="http://schemas.openxmlformats.org/spreadsheetml/2006/main" count="13" uniqueCount="13">
  <si>
    <t>MODELO · S12 Ítem 5 — DLOC y DLOM — del valor base al paquete cerrado</t>
  </si>
  <si>
    <t>1) VARIABLES (celdas amarillas — editá)</t>
  </si>
  <si>
    <t>Valor base (minoritaria líquida)</t>
  </si>
  <si>
    <t>Prima de control de mercado</t>
  </si>
  <si>
    <t>Volatilidad anualizada (σ)</t>
  </si>
  <si>
    <t>Horizonte a la liquidez (T, años)</t>
  </si>
  <si>
    <t>2) INDICADORES</t>
  </si>
  <si>
    <t>DLOC (falta de control)</t>
  </si>
  <si>
    <t>DLOM Finnerty (central)</t>
  </si>
  <si>
    <t>DLOM Chaffe (referencia)</t>
  </si>
  <si>
    <t>Descuento total (cascada)</t>
  </si>
  <si>
    <t>Valor del paquete (no marketable)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</si>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</sst>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164" fontId="3" fillId="4" borderId="1" xfId="0" applyNumberFormat="1" applyFont="1" applyFill="1" applyBorder="1"/>
    <xf numFmtId="4" fontId="3" fillId="4" borderId="1" xfId="0" applyNumberFormat="1" applyFont="1" applyFill="1" applyBorder="1"/>
    <xf numFmtId="164" fontId="4" fillId="5" borderId="0" xfId="0" applyNumberFormat="1" applyFont="1" applyFill="1"/>
    <xf numFmtId="3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1500</v>
      </c>
    </row>
    <row r="5" spans="1:2" x14ac:dyDescent="0.25">
      <c r="A5" t="s">
        <v>3</v>
      </c>
      <c r="B5" s="4">
        <v>0.3</v>
      </c>
    </row>
    <row r="6" spans="1:2" x14ac:dyDescent="0.25">
      <c r="A6" t="s">
        <v>4</v>
      </c>
      <c r="B6" s="4">
        <v>0.65</v>
      </c>
    </row>
    <row r="7" spans="1:2" x14ac:dyDescent="0.25">
      <c r="A7" t="s">
        <v>5</v>
      </c>
      <c r="B7" s="5">
        <v>3</v>
      </c>
    </row>
    <row r="9" spans="1:3" x14ac:dyDescent="0.25">
      <c r="A9" s="2" t="s">
        <v>6</v>
      </c>
      <c r="B9" s="2"/>
      <c r="C9" s="2"/>
    </row>
    <row r="10" spans="1:2" x14ac:dyDescent="0.25">
      <c r="A10" t="s">
        <v>7</v>
      </c>
      <c r="B10" s="6">
        <f>1-1/(1+B5)</f>
      </c>
    </row>
    <row r="11" spans="1:2" x14ac:dyDescent="0.25">
      <c r="A11" t="s">
        <v>8</v>
      </c>
      <c r="B11" s="6">
        <f>2*_xlfn.NORM.S.DIST(B6*SQRT(B7/3)/2,TRUE)-1</f>
      </c>
    </row>
    <row r="12" spans="1:2" x14ac:dyDescent="0.25">
      <c r="A12" t="s">
        <v>9</v>
      </c>
      <c r="B12" s="6">
        <f>2*_xlfn.NORM.S.DIST(B6*SQRT(B7)/2,TRUE)-1</f>
      </c>
    </row>
    <row r="13" spans="1:2" x14ac:dyDescent="0.25">
      <c r="A13" t="s">
        <v>10</v>
      </c>
      <c r="B13" s="6">
        <f>1-(1-B10)*(1-B11)</f>
      </c>
    </row>
    <row r="14" spans="1:2" x14ac:dyDescent="0.25">
      <c r="A14" t="s">
        <v>11</v>
      </c>
      <c r="B14" s="7">
        <f>B4*(1-B13)</f>
      </c>
    </row>
    <row r="16" spans="1:3" x14ac:dyDescent="0.25">
      <c r="A16" s="2" t="s">
        <v>12</v>
      </c>
      <c r="B16" s="2"/>
      <c r="C16" s="2"/>
    </row>
    <row r="17" ht="32" customHeight="1" spans="1:3" x14ac:dyDescent="0.25">
      <c r="A17" s="8">
        <f>IF(1-(1-B10)*(1-B11)&lt;B10+B11,"La cascada ("&amp;TEXT(B13,"0.0%")&amp;") es MENOR que la suma simple ("&amp;TEXT(B10+B11,"0.0%")&amp;"): aplicar en secuencia preserva trazabilidad. Paquete = "&amp;TEXT(B14,"#,##0")&amp;"k.","Caso limite: con un descuento en cero la cascada iguala a la suma. Nunca sumes DLOC y DLOM.")</f>
      </c>
      <c r="B17" s="8"/>
      <c r="C17" s="8"/>
    </row>
  </sheetData>
  <mergeCells count="5">
    <mergeCell ref="A1:C1"/>
    <mergeCell ref="A3:C3"/>
    <mergeCell ref="A9:C9"/>
    <mergeCell ref="A16:C16"/>
    <mergeCell ref="A17:C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