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1" state="visible" r:id="rId4"/>
  </sheets>
  <calcPr calcId="171027"/>
</workbook>
</file>

<file path=xl/sharedStrings.xml><?xml version="1.0" encoding="utf-8"?>
<sst xmlns="http://schemas.openxmlformats.org/spreadsheetml/2006/main" count="50" uniqueCount="35">
  <si>
    <t>MODELO INTERACTIVO · Semana 1 — Lectura de Estados Contables</t>
  </si>
  <si>
    <t>Editá SOLO las celdas amarillas (entradas). Los cálculos y las conclusiones se actualizan solos.</t>
  </si>
  <si>
    <t>1) DATOS DE ENTRADA  (celdas amarillas)</t>
  </si>
  <si>
    <t>Caja y bancos</t>
  </si>
  <si>
    <t>k</t>
  </si>
  <si>
    <t>Inversiones transitorias</t>
  </si>
  <si>
    <t>Cuentas por cobrar</t>
  </si>
  <si>
    <t>Otros créditos</t>
  </si>
  <si>
    <t>Inventarios</t>
  </si>
  <si>
    <t>Bienes de uso (neto)</t>
  </si>
  <si>
    <t>Descubierto bancario</t>
  </si>
  <si>
    <t>Cheques a pagar</t>
  </si>
  <si>
    <t>Proveedores</t>
  </si>
  <si>
    <t>Préstamos corto plazo</t>
  </si>
  <si>
    <t>Cargas fiscales y sociales</t>
  </si>
  <si>
    <t>Préstamos largo plazo</t>
  </si>
  <si>
    <t>Previsiones</t>
  </si>
  <si>
    <t>Capital social</t>
  </si>
  <si>
    <t>Reservas</t>
  </si>
  <si>
    <t>Resultados acumulados</t>
  </si>
  <si>
    <t>2) CÁLCULOS E INDICADORES</t>
  </si>
  <si>
    <t>Activo corriente</t>
  </si>
  <si>
    <t>Activo no corriente</t>
  </si>
  <si>
    <t>TOTAL ACTIVO</t>
  </si>
  <si>
    <t>Pasivo corriente</t>
  </si>
  <si>
    <t>Pasivo no corriente</t>
  </si>
  <si>
    <t>TOTAL PASIVO</t>
  </si>
  <si>
    <t>PATRIMONIO NETO</t>
  </si>
  <si>
    <t>Control ecuación (≈0)</t>
  </si>
  <si>
    <t>Capital de trabajo</t>
  </si>
  <si>
    <t>Liquidez corriente</t>
  </si>
  <si>
    <t>Liquidez ácida (prueba del ácido)</t>
  </si>
  <si>
    <t>3) CONCLUSIONES AUTOMÁTICAS</t>
  </si>
  <si>
    <t>Integridad</t>
  </si>
  <si>
    <t>Liquidez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</si>
</sst>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x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3" fontId="6" fillId="5" borderId="0" xfId="0" applyNumberFormat="1" applyFont="1" applyFill="1"/>
    <xf numFmtId="164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180</v>
      </c>
      <c r="C5" t="s">
        <v>4</v>
      </c>
    </row>
    <row r="6" spans="1:3" x14ac:dyDescent="0.25">
      <c r="A6" s="4" t="s">
        <v>5</v>
      </c>
      <c r="B6" s="5">
        <v>60</v>
      </c>
      <c r="C6" t="s">
        <v>4</v>
      </c>
    </row>
    <row r="7" spans="1:3" x14ac:dyDescent="0.25">
      <c r="A7" s="4" t="s">
        <v>6</v>
      </c>
      <c r="B7" s="5">
        <v>1850</v>
      </c>
      <c r="C7" t="s">
        <v>4</v>
      </c>
    </row>
    <row r="8" spans="1:3" x14ac:dyDescent="0.25">
      <c r="A8" s="4" t="s">
        <v>7</v>
      </c>
      <c r="B8" s="5">
        <v>320</v>
      </c>
      <c r="C8" t="s">
        <v>4</v>
      </c>
    </row>
    <row r="9" spans="1:3" x14ac:dyDescent="0.25">
      <c r="A9" s="4" t="s">
        <v>8</v>
      </c>
      <c r="B9" s="5">
        <v>2400</v>
      </c>
      <c r="C9" t="s">
        <v>4</v>
      </c>
    </row>
    <row r="10" spans="1:3" x14ac:dyDescent="0.25">
      <c r="A10" s="4" t="s">
        <v>9</v>
      </c>
      <c r="B10" s="5">
        <v>2560</v>
      </c>
      <c r="C10" t="s">
        <v>4</v>
      </c>
    </row>
    <row r="11" spans="1:3" x14ac:dyDescent="0.25">
      <c r="A11" s="4" t="s">
        <v>10</v>
      </c>
      <c r="B11" s="5">
        <v>540</v>
      </c>
      <c r="C11" t="s">
        <v>4</v>
      </c>
    </row>
    <row r="12" spans="1:3" x14ac:dyDescent="0.25">
      <c r="A12" s="4" t="s">
        <v>11</v>
      </c>
      <c r="B12" s="5">
        <v>430</v>
      </c>
      <c r="C12" t="s">
        <v>4</v>
      </c>
    </row>
    <row r="13" spans="1:3" x14ac:dyDescent="0.25">
      <c r="A13" s="4" t="s">
        <v>12</v>
      </c>
      <c r="B13" s="5">
        <v>1280</v>
      </c>
      <c r="C13" t="s">
        <v>4</v>
      </c>
    </row>
    <row r="14" spans="1:3" x14ac:dyDescent="0.25">
      <c r="A14" s="4" t="s">
        <v>13</v>
      </c>
      <c r="B14" s="5">
        <v>620</v>
      </c>
      <c r="C14" t="s">
        <v>4</v>
      </c>
    </row>
    <row r="15" spans="1:3" x14ac:dyDescent="0.25">
      <c r="A15" s="4" t="s">
        <v>14</v>
      </c>
      <c r="B15" s="5">
        <v>380</v>
      </c>
      <c r="C15" t="s">
        <v>4</v>
      </c>
    </row>
    <row r="16" spans="1:3" x14ac:dyDescent="0.25">
      <c r="A16" s="4" t="s">
        <v>15</v>
      </c>
      <c r="B16" s="5">
        <v>980</v>
      </c>
      <c r="C16" t="s">
        <v>4</v>
      </c>
    </row>
    <row r="17" spans="1:3" x14ac:dyDescent="0.25">
      <c r="A17" s="4" t="s">
        <v>16</v>
      </c>
      <c r="B17" s="5">
        <v>90</v>
      </c>
      <c r="C17" t="s">
        <v>4</v>
      </c>
    </row>
    <row r="18" spans="1:3" x14ac:dyDescent="0.25">
      <c r="A18" s="4" t="s">
        <v>17</v>
      </c>
      <c r="B18" s="5">
        <v>600</v>
      </c>
      <c r="C18" t="s">
        <v>4</v>
      </c>
    </row>
    <row r="19" spans="1:3" x14ac:dyDescent="0.25">
      <c r="A19" s="4" t="s">
        <v>18</v>
      </c>
      <c r="B19" s="5">
        <v>320</v>
      </c>
      <c r="C19" t="s">
        <v>4</v>
      </c>
    </row>
    <row r="20" spans="1:3" x14ac:dyDescent="0.25">
      <c r="A20" s="4" t="s">
        <v>19</v>
      </c>
      <c r="B20" s="5">
        <v>1850</v>
      </c>
      <c r="C20" t="s">
        <v>4</v>
      </c>
    </row>
    <row r="22" ht="20" customHeight="1" spans="1:4" x14ac:dyDescent="0.25">
      <c r="A22" s="3" t="s">
        <v>20</v>
      </c>
      <c r="B22" s="3"/>
      <c r="C22" s="3"/>
      <c r="D22" s="3"/>
    </row>
    <row r="23" spans="1:2" x14ac:dyDescent="0.25">
      <c r="A23" s="4" t="s">
        <v>21</v>
      </c>
      <c r="B23" s="6">
        <f>B5+B6+B7+B8+B9</f>
      </c>
    </row>
    <row r="24" spans="1:2" x14ac:dyDescent="0.25">
      <c r="A24" s="4" t="s">
        <v>22</v>
      </c>
      <c r="B24" s="6">
        <f>B10</f>
      </c>
    </row>
    <row r="25" spans="1:2" x14ac:dyDescent="0.25">
      <c r="A25" s="4" t="s">
        <v>23</v>
      </c>
      <c r="B25" s="6">
        <f>B23+B24</f>
      </c>
    </row>
    <row r="26" spans="1:2" x14ac:dyDescent="0.25">
      <c r="A26" s="4" t="s">
        <v>24</v>
      </c>
      <c r="B26" s="6">
        <f>B11+B12+B13+B14+B15</f>
      </c>
    </row>
    <row r="27" spans="1:2" x14ac:dyDescent="0.25">
      <c r="A27" s="4" t="s">
        <v>25</v>
      </c>
      <c r="B27" s="6">
        <f>B16+B17</f>
      </c>
    </row>
    <row r="28" spans="1:2" x14ac:dyDescent="0.25">
      <c r="A28" s="4" t="s">
        <v>26</v>
      </c>
      <c r="B28" s="6">
        <f>B26+B27</f>
      </c>
    </row>
    <row r="29" spans="1:2" x14ac:dyDescent="0.25">
      <c r="A29" s="4" t="s">
        <v>27</v>
      </c>
      <c r="B29" s="6">
        <f>B18+B19+B20</f>
      </c>
    </row>
    <row r="30" spans="1:2" x14ac:dyDescent="0.25">
      <c r="A30" s="4" t="s">
        <v>28</v>
      </c>
      <c r="B30" s="6">
        <f>B25-(B28+B29)</f>
      </c>
    </row>
    <row r="31" spans="1:2" x14ac:dyDescent="0.25">
      <c r="A31" s="4" t="s">
        <v>29</v>
      </c>
      <c r="B31" s="6">
        <f>B23-B26</f>
      </c>
    </row>
    <row r="32" spans="1:2" x14ac:dyDescent="0.25">
      <c r="A32" s="4" t="s">
        <v>30</v>
      </c>
      <c r="B32" s="7">
        <f>B23/B26</f>
      </c>
    </row>
    <row r="33" spans="1:2" x14ac:dyDescent="0.25">
      <c r="A33" s="4" t="s">
        <v>31</v>
      </c>
      <c r="B33" s="7">
        <f>(B23-B9)/B26</f>
      </c>
    </row>
    <row r="35" ht="20" customHeight="1" spans="1:4" x14ac:dyDescent="0.25">
      <c r="A35" s="3" t="s">
        <v>32</v>
      </c>
      <c r="B35" s="3"/>
      <c r="C35" s="3"/>
      <c r="D35" s="3"/>
    </row>
    <row r="36" ht="30" customHeight="1" spans="1:4" x14ac:dyDescent="0.25">
      <c r="A36" s="8" t="s">
        <v>33</v>
      </c>
      <c r="B36" s="9">
        <f>IF(ABS(B30)&lt;1,"OK: el balance cierra. Activo = Pasivo + Patrimonio Neto.","ERROR: la ecuacion no cierra por "&amp;TEXT(B30,"#,##0")</f>
      </c>
      <c r="C36" s="9"/>
      <c r="D36" s="9"/>
    </row>
    <row r="37" ht="30" customHeight="1" spans="1:4" x14ac:dyDescent="0.25">
      <c r="A37" s="8" t="s">
        <v>34</v>
      </c>
      <c r="B37" s="9">
        <f>IF(B32&gt;=1.5,"Liquidez holgada. ","Liquidez ajustada: vigilar la caja. ")&amp;"Razon corriente "&amp;TEXT(B32,"0.00")&amp;"x, acida "&amp;TEXT(B33,"0.00")&amp;"x. Capital de trabajo "&amp;TEXT(B31,"#,##0")&amp;" k."</f>
      </c>
      <c r="C37" s="9"/>
      <c r="D37" s="9"/>
    </row>
  </sheetData>
  <mergeCells count="7">
    <mergeCell ref="A1:D1"/>
    <mergeCell ref="A2:D2"/>
    <mergeCell ref="A4:D4"/>
    <mergeCell ref="A22:D22"/>
    <mergeCell ref="A35:D35"/>
    <mergeCell ref="B36:D36"/>
    <mergeCell ref="B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2026-06-15T14:43:00Z</dcterms:created>
  <dcterms:modified xsi:type="dcterms:W3CDTF">2026-06-15T14:43:00Z</dcterms:modified>
</cp:coreProperties>
</file>