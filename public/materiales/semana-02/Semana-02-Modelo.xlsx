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mana 2" state="visible" r:id="rId4"/>
  </sheets>
  <calcPr calcId="171027"/>
</workbook>
</file>

<file path=xl/sharedStrings.xml><?xml version="1.0" encoding="utf-8"?>
<sst xmlns="http://schemas.openxmlformats.org/spreadsheetml/2006/main" count="25" uniqueCount="25">
  <si>
    <t>MODELO INTERACTIVO · Semana 2 — Valor Contable vs. Valor Real</t>
  </si>
  <si>
    <t>Editá SOLO las celdas amarillas (entradas). Los cálculos y las conclusiones se actualizan solos.</t>
  </si>
  <si>
    <t>1) DATOS DE ENTRADA  (celdas amarillas)</t>
  </si>
  <si>
    <t>Cuentas por cobrar (libro)</t>
  </si>
  <si>
    <t>Cuentas por cobrar (real, neto incobrables)</t>
  </si>
  <si>
    <t>Inventario (libro)</t>
  </si>
  <si>
    <t>Inventario (real, neto obsoletos)</t>
  </si>
  <si>
    <t>Terreno (libro, costo histórico)</t>
  </si>
  <si>
    <t>Terreno (real, mercado)</t>
  </si>
  <si>
    <t>Maquinaria (libro)</t>
  </si>
  <si>
    <t>Maquinaria (real, parte obsoleta)</t>
  </si>
  <si>
    <t>Marca y cartera (libro)</t>
  </si>
  <si>
    <t>Marca y cartera (real)</t>
  </si>
  <si>
    <t>Resto de activos (igual en ambos)</t>
  </si>
  <si>
    <t>Pasivo total</t>
  </si>
  <si>
    <t>2) CÁLCULOS E INDICADORES</t>
  </si>
  <si>
    <t>Activo total (libro)</t>
  </si>
  <si>
    <t>Activo total (real)</t>
  </si>
  <si>
    <t>Patrimonio Neto contable</t>
  </si>
  <si>
    <t>Patrimonio Neto económico</t>
  </si>
  <si>
    <t>Brecha (real − contable)</t>
  </si>
  <si>
    <t>Brecha sobre PN contable</t>
  </si>
  <si>
    <t>3) CONCLUSIONES AUTOMÁTICAS</t>
  </si>
  <si>
    <t>Diagnóstico</t>
  </si>
  <si>
    <t>Acción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</si>
</sst>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555555"/>
      <sz val="10"/>
    </font>
    <font>
      <b/>
      <color rgb="FFD4AF37"/>
      <sz val="11"/>
    </font>
    <font>
      <sz val="11"/>
    </font>
    <font>
      <b/>
      <sz val="11"/>
    </font>
    <font>
      <b/>
      <color rgb="FF1A2740"/>
      <sz val="11"/>
    </font>
    <font>
      <color rgb="FF0B5132"/>
      <sz val="11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3" borderId="0" xfId="0" applyFont="1" applyFill="1" applyAlignment="1">
      <alignment indent="1"/>
    </xf>
    <xf numFmtId="0" fontId="4" fillId="0" borderId="0" xfId="0" applyFont="1"/>
    <xf numFmtId="3" fontId="5" fillId="4" borderId="1" xfId="0" applyNumberFormat="1" applyFont="1" applyFill="1" applyBorder="1"/>
    <xf numFmtId="3" fontId="6" fillId="5" borderId="0" xfId="0" applyNumberFormat="1" applyFont="1" applyFill="1"/>
    <xf numFmtId="164" fontId="6" fillId="5" borderId="0" xfId="0" applyNumberFormat="1" applyFont="1" applyFill="1"/>
    <xf numFmtId="0" fontId="5" fillId="0" borderId="0" xfId="0" applyFont="1"/>
    <xf numFmtId="0" fontId="7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 showGridLines="0"/>
  </sheetViews>
  <sheetFormatPr defaultRowHeight="15" outlineLevelRow="0" outlineLevelCol="0" x14ac:dyDescent="55"/>
  <cols>
    <col min="1" max="1" width="42" customWidth="1"/>
    <col min="2" max="2" width="16" customWidth="1"/>
    <col min="3" max="3" width="14" customWidth="1"/>
    <col min="4" max="4" width="52" customWidth="1"/>
  </cols>
  <sheetData>
    <row r="1" ht="26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ht="20" customHeight="1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1850</v>
      </c>
    </row>
    <row r="6" spans="1:2" x14ac:dyDescent="0.25">
      <c r="A6" s="4" t="s">
        <v>4</v>
      </c>
      <c r="B6" s="5">
        <v>1560</v>
      </c>
    </row>
    <row r="7" spans="1:2" x14ac:dyDescent="0.25">
      <c r="A7" s="4" t="s">
        <v>5</v>
      </c>
      <c r="B7" s="5">
        <v>2400</v>
      </c>
    </row>
    <row r="8" spans="1:2" x14ac:dyDescent="0.25">
      <c r="A8" s="4" t="s">
        <v>6</v>
      </c>
      <c r="B8" s="5">
        <v>1980</v>
      </c>
    </row>
    <row r="9" spans="1:2" x14ac:dyDescent="0.25">
      <c r="A9" s="4" t="s">
        <v>7</v>
      </c>
      <c r="B9" s="5">
        <v>350</v>
      </c>
    </row>
    <row r="10" spans="1:2" x14ac:dyDescent="0.25">
      <c r="A10" s="4" t="s">
        <v>8</v>
      </c>
      <c r="B10" s="5">
        <v>900</v>
      </c>
    </row>
    <row r="11" spans="1:2" x14ac:dyDescent="0.25">
      <c r="A11" s="4" t="s">
        <v>9</v>
      </c>
      <c r="B11" s="5">
        <v>1450</v>
      </c>
    </row>
    <row r="12" spans="1:2" x14ac:dyDescent="0.25">
      <c r="A12" s="4" t="s">
        <v>10</v>
      </c>
      <c r="B12" s="5">
        <v>1150</v>
      </c>
    </row>
    <row r="13" spans="1:2" x14ac:dyDescent="0.25">
      <c r="A13" s="4" t="s">
        <v>11</v>
      </c>
      <c r="B13" s="5">
        <v>0</v>
      </c>
    </row>
    <row r="14" spans="1:2" x14ac:dyDescent="0.25">
      <c r="A14" s="4" t="s">
        <v>12</v>
      </c>
      <c r="B14" s="5">
        <v>650</v>
      </c>
    </row>
    <row r="15" spans="1:2" x14ac:dyDescent="0.25">
      <c r="A15" s="4" t="s">
        <v>13</v>
      </c>
      <c r="B15" s="5">
        <v>1180</v>
      </c>
    </row>
    <row r="16" spans="1:2" x14ac:dyDescent="0.25">
      <c r="A16" s="4" t="s">
        <v>14</v>
      </c>
      <c r="B16" s="5">
        <v>4320</v>
      </c>
    </row>
    <row r="18" ht="20" customHeight="1" spans="1:4" x14ac:dyDescent="0.25">
      <c r="A18" s="3" t="s">
        <v>15</v>
      </c>
      <c r="B18" s="3"/>
      <c r="C18" s="3"/>
      <c r="D18" s="3"/>
    </row>
    <row r="19" spans="1:2" x14ac:dyDescent="0.25">
      <c r="A19" s="4" t="s">
        <v>16</v>
      </c>
      <c r="B19" s="6">
        <f>B5+B7+B9+B11+B13+B15</f>
      </c>
    </row>
    <row r="20" spans="1:2" x14ac:dyDescent="0.25">
      <c r="A20" s="4" t="s">
        <v>17</v>
      </c>
      <c r="B20" s="6">
        <f>B6+B8+B10+B12+B14+B15</f>
      </c>
    </row>
    <row r="21" spans="1:2" x14ac:dyDescent="0.25">
      <c r="A21" s="4" t="s">
        <v>18</v>
      </c>
      <c r="B21" s="6">
        <f>B19-B16</f>
      </c>
    </row>
    <row r="22" spans="1:2" x14ac:dyDescent="0.25">
      <c r="A22" s="4" t="s">
        <v>19</v>
      </c>
      <c r="B22" s="6">
        <f>B20-B16</f>
      </c>
    </row>
    <row r="23" spans="1:2" x14ac:dyDescent="0.25">
      <c r="A23" s="4" t="s">
        <v>20</v>
      </c>
      <c r="B23" s="6">
        <f>B22-B21</f>
      </c>
    </row>
    <row r="24" spans="1:2" x14ac:dyDescent="0.25">
      <c r="A24" s="4" t="s">
        <v>21</v>
      </c>
      <c r="B24" s="7">
        <f>B23/B21</f>
      </c>
    </row>
    <row r="26" ht="20" customHeight="1" spans="1:4" x14ac:dyDescent="0.25">
      <c r="A26" s="3" t="s">
        <v>22</v>
      </c>
      <c r="B26" s="3"/>
      <c r="C26" s="3"/>
      <c r="D26" s="3"/>
    </row>
    <row r="27" ht="30" customHeight="1" spans="1:4" x14ac:dyDescent="0.25">
      <c r="A27" s="8" t="s">
        <v>23</v>
      </c>
      <c r="B27" s="9">
        <f>IF(B23&gt;0,"Hay VALOR OCULTO: el patrimonio real supera al contable en "&amp;TEXT(B23,"#,##0")&amp;" k ("&amp;TEXT(B24,"0.0%")&amp;"). La contabilidad de presentacion subestima la empresa.","El patrimonio real es MENOR al contable en "&amp;TEXT(-B23,"#,##0")&amp;" k: hay activos sobrevaluados (incobrables/obsoletos).")</f>
      </c>
      <c r="C27" s="9"/>
      <c r="D27" s="9"/>
    </row>
    <row r="28" ht="30" customHeight="1" spans="1:4" x14ac:dyDescent="0.25">
      <c r="A28" s="8" t="s">
        <v>24</v>
      </c>
      <c r="B28" s="9">
        <f>"Para gestionar, valua a mercado: el terreno y los intangibles suman, los incobrables y el inventario obsoleto restan. Decidi sobre el PN economico, no sobre el de libros."</f>
      </c>
      <c r="C28" s="9"/>
      <c r="D28" s="9"/>
    </row>
  </sheetData>
  <mergeCells count="7">
    <mergeCell ref="A1:D1"/>
    <mergeCell ref="A2:D2"/>
    <mergeCell ref="A4:D4"/>
    <mergeCell ref="A18:D18"/>
    <mergeCell ref="A26:D26"/>
    <mergeCell ref="B27:D27"/>
    <mergeCell ref="B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Semana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Academia de Finanzas Corporativas + IA</dc:creator>
  <dc:title/>
  <dc:subject/>
  <dc:description/>
  <cp:keywords/>
  <cp:category/>
  <cp:lastModifiedBy>Unknown</cp:lastModifiedBy>
  <dcterms:created xsi:type="dcterms:W3CDTF">2026-06-15T14:43:00Z</dcterms:created>
  <dcterms:modified xsi:type="dcterms:W3CDTF">2026-06-15T14:43:00Z</dcterms:modified>
</cp:coreProperties>
</file>