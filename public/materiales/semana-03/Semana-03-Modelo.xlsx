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mana 3" state="visible" r:id="rId4"/>
  </sheets>
  <calcPr calcId="171027"/>
</workbook>
</file>

<file path=xl/sharedStrings.xml><?xml version="1.0" encoding="utf-8"?>
<sst xmlns="http://schemas.openxmlformats.org/spreadsheetml/2006/main" count="24" uniqueCount="24">
  <si>
    <t>MODELO INTERACTIVO · Semana 3 — NOPAT · ROIC · DuPont</t>
  </si>
  <si>
    <t>Editá SOLO las celdas amarillas (entradas). Los cálculos y las conclusiones se actualizan solos.</t>
  </si>
  <si>
    <t>1) DATOS DE ENTRADA  (celdas amarillas)</t>
  </si>
  <si>
    <t>EBIT (resultado operativo)</t>
  </si>
  <si>
    <t>Tasa de impuesto</t>
  </si>
  <si>
    <t>Capital de trabajo operativo</t>
  </si>
  <si>
    <t>Activo fijo neto</t>
  </si>
  <si>
    <t>Ventas netas</t>
  </si>
  <si>
    <t>Activo total</t>
  </si>
  <si>
    <t>Patrimonio neto</t>
  </si>
  <si>
    <t>Resultado neto</t>
  </si>
  <si>
    <t>WACC (costo del capital)</t>
  </si>
  <si>
    <t>2) CÁLCULOS E INDICADORES</t>
  </si>
  <si>
    <t>NOPAT</t>
  </si>
  <si>
    <t>Capital invertido</t>
  </si>
  <si>
    <t>ROIC</t>
  </si>
  <si>
    <t>Margen neto</t>
  </si>
  <si>
    <t>Rotación del activo</t>
  </si>
  <si>
    <t>Multiplicador financiero</t>
  </si>
  <si>
    <t>ROE (DuPont)</t>
  </si>
  <si>
    <t>Spread ROIC − WACC</t>
  </si>
  <si>
    <t>3) CONCLUSIONES AUTOMÁTICAS</t>
  </si>
  <si>
    <t>Valor</t>
  </si>
  <si>
    <t>DuPont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</si>
</sst>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.0%"/>
    <numFmt numFmtId="165" formatCode="0.00&quot;x&quot;"/>
  </numFmts>
  <fonts count="8" x14ac:knownFonts="1">
    <font>
      <color theme="1"/>
      <family val="2"/>
      <scheme val="minor"/>
      <sz val="11"/>
      <name val="Calibri"/>
    </font>
    <font>
      <b/>
      <color rgb="FFFFFFFF"/>
      <sz val="14"/>
    </font>
    <font>
      <i/>
      <color rgb="FF555555"/>
      <sz val="10"/>
    </font>
    <font>
      <b/>
      <color rgb="FFD4AF37"/>
      <sz val="11"/>
    </font>
    <font>
      <sz val="11"/>
    </font>
    <font>
      <b/>
      <sz val="11"/>
    </font>
    <font>
      <b/>
      <color rgb="FF1A2740"/>
      <sz val="11"/>
    </font>
    <font>
      <color rgb="FF0B5132"/>
      <sz val="11"/>
    </font>
  </fonts>
  <fills count="7">
    <fill>
      <patternFill patternType="none"/>
    </fill>
    <fill>
      <patternFill patternType="gray125"/>
    </fill>
    <fill>
      <patternFill patternType="solid">
        <fgColor rgb="FF0B1120"/>
      </patternFill>
    </fill>
    <fill>
      <patternFill patternType="solid">
        <fgColor rgb="FF111A2E"/>
      </patternFill>
    </fill>
    <fill>
      <patternFill patternType="solid">
        <fgColor rgb="FFFFF3C4"/>
      </patternFill>
    </fill>
    <fill>
      <patternFill patternType="solid">
        <fgColor rgb="FFEAF1FB"/>
      </patternFill>
    </fill>
    <fill>
      <patternFill patternType="solid">
        <fgColor rgb="FFE5F6EC"/>
      </patternFill>
    </fill>
  </fills>
  <borders count="2">
    <border>
      <left/>
      <right/>
      <top/>
      <bottom/>
      <diagonal/>
    </border>
    <border>
      <left style="thin">
        <color rgb="FFBFA12A"/>
      </left>
      <right style="thin">
        <color rgb="FFBFA12A"/>
      </right>
      <top style="thin">
        <color rgb="FFBFA12A"/>
      </top>
      <bottom style="thin">
        <color rgb="FFBFA12A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0" xfId="0" applyFont="1" applyFill="1" applyAlignment="1">
      <alignment horizontal="left" vertical="center" indent="1"/>
    </xf>
    <xf numFmtId="0" fontId="2" fillId="0" borderId="0" xfId="0" applyFont="1"/>
    <xf numFmtId="0" fontId="3" fillId="3" borderId="0" xfId="0" applyFont="1" applyFill="1" applyAlignment="1">
      <alignment indent="1"/>
    </xf>
    <xf numFmtId="0" fontId="4" fillId="0" borderId="0" xfId="0" applyFont="1"/>
    <xf numFmtId="3" fontId="5" fillId="4" borderId="1" xfId="0" applyNumberFormat="1" applyFont="1" applyFill="1" applyBorder="1"/>
    <xf numFmtId="164" fontId="5" fillId="4" borderId="1" xfId="0" applyNumberFormat="1" applyFont="1" applyFill="1" applyBorder="1"/>
    <xf numFmtId="3" fontId="6" fillId="5" borderId="0" xfId="0" applyNumberFormat="1" applyFont="1" applyFill="1"/>
    <xf numFmtId="164" fontId="6" fillId="5" borderId="0" xfId="0" applyNumberFormat="1" applyFont="1" applyFill="1"/>
    <xf numFmtId="165" fontId="6" fillId="5" borderId="0" xfId="0" applyNumberFormat="1" applyFont="1" applyFill="1"/>
    <xf numFmtId="0" fontId="5" fillId="0" borderId="0" xfId="0" applyFont="1"/>
    <xf numFmtId="0" fontId="7" fillId="6" borderId="0" xfId="0" applyFont="1" applyFill="1" applyAlignment="1">
      <alignment vertical="center" wrapText="1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7"/>
  <sheetViews>
    <sheetView workbookViewId="0" showGridLines="0"/>
  </sheetViews>
  <sheetFormatPr defaultRowHeight="15" outlineLevelRow="0" outlineLevelCol="0" x14ac:dyDescent="55"/>
  <cols>
    <col min="1" max="1" width="42" customWidth="1"/>
    <col min="2" max="2" width="16" customWidth="1"/>
    <col min="3" max="3" width="14" customWidth="1"/>
    <col min="4" max="4" width="52" customWidth="1"/>
  </cols>
  <sheetData>
    <row r="1" ht="26" customHeight="1" spans="1:4" x14ac:dyDescent="0.25">
      <c r="A1" s="1" t="s">
        <v>0</v>
      </c>
      <c r="B1" s="1"/>
      <c r="C1" s="1"/>
      <c r="D1" s="1"/>
    </row>
    <row r="2" spans="1:4" x14ac:dyDescent="0.25">
      <c r="A2" s="2" t="s">
        <v>1</v>
      </c>
      <c r="B2" s="2"/>
      <c r="C2" s="2"/>
      <c r="D2" s="2"/>
    </row>
    <row r="4" ht="20" customHeight="1" spans="1:4" x14ac:dyDescent="0.25">
      <c r="A4" s="3" t="s">
        <v>2</v>
      </c>
      <c r="B4" s="3"/>
      <c r="C4" s="3"/>
      <c r="D4" s="3"/>
    </row>
    <row r="5" spans="1:2" x14ac:dyDescent="0.25">
      <c r="A5" s="4" t="s">
        <v>3</v>
      </c>
      <c r="B5" s="5">
        <v>830</v>
      </c>
    </row>
    <row r="6" spans="1:2" x14ac:dyDescent="0.25">
      <c r="A6" s="4" t="s">
        <v>4</v>
      </c>
      <c r="B6" s="6">
        <v>0.35</v>
      </c>
    </row>
    <row r="7" spans="1:2" x14ac:dyDescent="0.25">
      <c r="A7" s="4" t="s">
        <v>5</v>
      </c>
      <c r="B7" s="5">
        <v>2970</v>
      </c>
    </row>
    <row r="8" spans="1:2" x14ac:dyDescent="0.25">
      <c r="A8" s="4" t="s">
        <v>6</v>
      </c>
      <c r="B8" s="5">
        <v>2560</v>
      </c>
    </row>
    <row r="9" spans="1:2" x14ac:dyDescent="0.25">
      <c r="A9" s="4" t="s">
        <v>7</v>
      </c>
      <c r="B9" s="5">
        <v>8200</v>
      </c>
    </row>
    <row r="10" spans="1:2" x14ac:dyDescent="0.25">
      <c r="A10" s="4" t="s">
        <v>8</v>
      </c>
      <c r="B10" s="5">
        <v>7370</v>
      </c>
    </row>
    <row r="11" spans="1:2" x14ac:dyDescent="0.25">
      <c r="A11" s="4" t="s">
        <v>9</v>
      </c>
      <c r="B11" s="5">
        <v>2770</v>
      </c>
    </row>
    <row r="12" spans="1:2" x14ac:dyDescent="0.25">
      <c r="A12" s="4" t="s">
        <v>10</v>
      </c>
      <c r="B12" s="5">
        <v>175</v>
      </c>
    </row>
    <row r="13" spans="1:2" x14ac:dyDescent="0.25">
      <c r="A13" s="4" t="s">
        <v>11</v>
      </c>
      <c r="B13" s="6">
        <v>0.21</v>
      </c>
    </row>
    <row r="15" ht="20" customHeight="1" spans="1:4" x14ac:dyDescent="0.25">
      <c r="A15" s="3" t="s">
        <v>12</v>
      </c>
      <c r="B15" s="3"/>
      <c r="C15" s="3"/>
      <c r="D15" s="3"/>
    </row>
    <row r="16" spans="1:2" x14ac:dyDescent="0.25">
      <c r="A16" s="4" t="s">
        <v>13</v>
      </c>
      <c r="B16" s="7">
        <f>_xlfn.LET(e,B5,t,B6,e*(1-t))</f>
      </c>
    </row>
    <row r="17" spans="1:2" x14ac:dyDescent="0.25">
      <c r="A17" s="4" t="s">
        <v>14</v>
      </c>
      <c r="B17" s="7">
        <f>B7+B8</f>
      </c>
    </row>
    <row r="18" spans="1:2" x14ac:dyDescent="0.25">
      <c r="A18" s="4" t="s">
        <v>15</v>
      </c>
      <c r="B18" s="8">
        <f>B16/B17</f>
      </c>
    </row>
    <row r="19" spans="1:2" x14ac:dyDescent="0.25">
      <c r="A19" s="4" t="s">
        <v>16</v>
      </c>
      <c r="B19" s="8">
        <f>B12/B9</f>
      </c>
    </row>
    <row r="20" spans="1:2" x14ac:dyDescent="0.25">
      <c r="A20" s="4" t="s">
        <v>17</v>
      </c>
      <c r="B20" s="9">
        <f>B9/B10</f>
      </c>
    </row>
    <row r="21" spans="1:2" x14ac:dyDescent="0.25">
      <c r="A21" s="4" t="s">
        <v>18</v>
      </c>
      <c r="B21" s="9">
        <f>B10/B11</f>
      </c>
    </row>
    <row r="22" spans="1:2" x14ac:dyDescent="0.25">
      <c r="A22" s="4" t="s">
        <v>19</v>
      </c>
      <c r="B22" s="8">
        <f>B19*B20*B21</f>
      </c>
    </row>
    <row r="23" spans="1:2" x14ac:dyDescent="0.25">
      <c r="A23" s="4" t="s">
        <v>20</v>
      </c>
      <c r="B23" s="8">
        <f>B18-B13</f>
      </c>
    </row>
    <row r="25" ht="20" customHeight="1" spans="1:4" x14ac:dyDescent="0.25">
      <c r="A25" s="3" t="s">
        <v>21</v>
      </c>
      <c r="B25" s="3"/>
      <c r="C25" s="3"/>
      <c r="D25" s="3"/>
    </row>
    <row r="26" ht="30" customHeight="1" spans="1:4" x14ac:dyDescent="0.25">
      <c r="A26" s="10" t="s">
        <v>22</v>
      </c>
      <c r="B26" s="11">
        <f>IF(B18&gt;B13,"CREA VALOR: ROIC "&amp;TEXT(B18,"0.0%")&amp;" supera al WACC "&amp;TEXT(B13,"0.0%")&amp;".","DESTRUYE VALOR: ROIC "&amp;TEXT(B18,"0.0%")&amp;" es menor al WACC "&amp;TEXT(B13,"0.0%")&amp;". Hay ganancia contable pero el capital rinde menos de lo que cuesta.")</f>
      </c>
      <c r="C26" s="11"/>
      <c r="D26" s="11"/>
    </row>
    <row r="27" ht="30" customHeight="1" spans="1:4" x14ac:dyDescent="0.25">
      <c r="A27" s="10" t="s">
        <v>23</v>
      </c>
      <c r="B27" s="11">
        <f>"ROE "&amp;TEXT(B22,"0.0%")&amp;" = margen "&amp;TEXT(B19,"0.0%")&amp;" x rotacion "&amp;TEXT(B20,"0.00")&amp;" x apalancamiento "&amp;TEXT(B21,"0.00")&amp;". No mires solo el margen: la rotacion y el multiplicador cambian todo."</f>
      </c>
      <c r="C27" s="11"/>
      <c r="D27" s="11"/>
    </row>
  </sheetData>
  <mergeCells count="7">
    <mergeCell ref="A1:D1"/>
    <mergeCell ref="A2:D2"/>
    <mergeCell ref="A4:D4"/>
    <mergeCell ref="A15:D15"/>
    <mergeCell ref="A25:D25"/>
    <mergeCell ref="B26:D26"/>
    <mergeCell ref="B27:D27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Semana 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Academia de Finanzas Corporativas + IA</dc:creator>
  <dc:title/>
  <dc:subject/>
  <dc:description/>
  <cp:keywords/>
  <cp:category/>
  <cp:lastModifiedBy>Unknown</cp:lastModifiedBy>
  <dcterms:created xsi:type="dcterms:W3CDTF">2026-06-24T11:50:51Z</dcterms:created>
  <dcterms:modified xsi:type="dcterms:W3CDTF">2026-06-24T11:50:51Z</dcterms:modified>
</cp:coreProperties>
</file>