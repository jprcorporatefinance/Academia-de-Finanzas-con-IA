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5" state="visible" r:id="rId4"/>
  </sheets>
  <calcPr calcId="171027"/>
</workbook>
</file>

<file path=xl/sharedStrings.xml><?xml version="1.0" encoding="utf-8"?>
<sst xmlns="http://schemas.openxmlformats.org/spreadsheetml/2006/main" count="21" uniqueCount="21">
  <si>
    <t>MODELO INTERACTIVO · Semana 5 — Económico vs. Financiero — Liquidez y Solvencia</t>
  </si>
  <si>
    <t>Editá SOLO las celdas amarillas (entradas). Los cálculos y las conclusiones se actualizan solos.</t>
  </si>
  <si>
    <t>1) DATOS DE ENTRADA  (celdas amarillas)</t>
  </si>
  <si>
    <t>Activo corriente</t>
  </si>
  <si>
    <t>Inventario</t>
  </si>
  <si>
    <t>Caja y bancos</t>
  </si>
  <si>
    <t>Pasivo corriente</t>
  </si>
  <si>
    <t>Deuda financiera total</t>
  </si>
  <si>
    <t>Patrimonio neto</t>
  </si>
  <si>
    <t>EBIT</t>
  </si>
  <si>
    <t>Intereses</t>
  </si>
  <si>
    <t>2) CÁLCULOS E INDICADORES</t>
  </si>
  <si>
    <t>Liquidez corriente</t>
  </si>
  <si>
    <t>Liquidez ácida</t>
  </si>
  <si>
    <t>Liquidez de caja</t>
  </si>
  <si>
    <t>Cobertura de intereses</t>
  </si>
  <si>
    <t>Deuda / Patrimonio</t>
  </si>
  <si>
    <t>Intereses sobre EBIT</t>
  </si>
  <si>
    <t>3) CONCLUSIONES AUTOMÁTICAS</t>
  </si>
  <si>
    <t>Liquidez</t>
  </si>
  <si>
    <t>Punto de inflexión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</si>
</sst>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x&quot;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6" fillId="5" borderId="0" xfId="0" applyNumberFormat="1" applyFont="1" applyFill="1"/>
    <xf numFmtId="165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4810</v>
      </c>
    </row>
    <row r="6" spans="1:2" x14ac:dyDescent="0.25">
      <c r="A6" s="4" t="s">
        <v>4</v>
      </c>
      <c r="B6" s="5">
        <v>2400</v>
      </c>
    </row>
    <row r="7" spans="1:2" x14ac:dyDescent="0.25">
      <c r="A7" s="4" t="s">
        <v>5</v>
      </c>
      <c r="B7" s="5">
        <v>180</v>
      </c>
    </row>
    <row r="8" spans="1:2" x14ac:dyDescent="0.25">
      <c r="A8" s="4" t="s">
        <v>6</v>
      </c>
      <c r="B8" s="5">
        <v>3250</v>
      </c>
    </row>
    <row r="9" spans="1:2" x14ac:dyDescent="0.25">
      <c r="A9" s="4" t="s">
        <v>7</v>
      </c>
      <c r="B9" s="5">
        <v>2570</v>
      </c>
    </row>
    <row r="10" spans="1:2" x14ac:dyDescent="0.25">
      <c r="A10" s="4" t="s">
        <v>8</v>
      </c>
      <c r="B10" s="5">
        <v>2770</v>
      </c>
    </row>
    <row r="11" spans="1:2" x14ac:dyDescent="0.25">
      <c r="A11" s="4" t="s">
        <v>9</v>
      </c>
      <c r="B11" s="5">
        <v>830</v>
      </c>
    </row>
    <row r="12" spans="1:2" x14ac:dyDescent="0.25">
      <c r="A12" s="4" t="s">
        <v>10</v>
      </c>
      <c r="B12" s="5">
        <v>560</v>
      </c>
    </row>
    <row r="14" ht="20" customHeight="1" spans="1:4" x14ac:dyDescent="0.25">
      <c r="A14" s="3" t="s">
        <v>11</v>
      </c>
      <c r="B14" s="3"/>
      <c r="C14" s="3"/>
      <c r="D14" s="3"/>
    </row>
    <row r="15" spans="1:2" x14ac:dyDescent="0.25">
      <c r="A15" s="4" t="s">
        <v>12</v>
      </c>
      <c r="B15" s="6">
        <f>B5/B8</f>
      </c>
    </row>
    <row r="16" spans="1:2" x14ac:dyDescent="0.25">
      <c r="A16" s="4" t="s">
        <v>13</v>
      </c>
      <c r="B16" s="6">
        <f>(B5-B6)/B8</f>
      </c>
    </row>
    <row r="17" spans="1:2" x14ac:dyDescent="0.25">
      <c r="A17" s="4" t="s">
        <v>14</v>
      </c>
      <c r="B17" s="6">
        <f>B7/B8</f>
      </c>
    </row>
    <row r="18" spans="1:2" x14ac:dyDescent="0.25">
      <c r="A18" s="4" t="s">
        <v>15</v>
      </c>
      <c r="B18" s="6">
        <f>B11/B12</f>
      </c>
    </row>
    <row r="19" spans="1:2" x14ac:dyDescent="0.25">
      <c r="A19" s="4" t="s">
        <v>16</v>
      </c>
      <c r="B19" s="6">
        <f>B9/B10</f>
      </c>
    </row>
    <row r="20" spans="1:2" x14ac:dyDescent="0.25">
      <c r="A20" s="4" t="s">
        <v>17</v>
      </c>
      <c r="B20" s="7">
        <f>B12/B11</f>
      </c>
    </row>
    <row r="22" ht="20" customHeight="1" spans="1:4" x14ac:dyDescent="0.25">
      <c r="A22" s="3" t="s">
        <v>18</v>
      </c>
      <c r="B22" s="3"/>
      <c r="C22" s="3"/>
      <c r="D22" s="3"/>
    </row>
    <row r="23" ht="30" customHeight="1" spans="1:4" x14ac:dyDescent="0.25">
      <c r="A23" s="8" t="s">
        <v>19</v>
      </c>
      <c r="B23" s="9">
        <f>IF(B16&lt;1,"ALERTA financiera: la liquidez acida ("&amp;TEXT(B16,"0.00")&amp;"x) es menor a 1. Sin contar inventario, el corriente no cubre el pasivo corriente.","Liquidez razonable (acida "&amp;TEXT(B16,"0.00")&amp;"x).")</f>
      </c>
      <c r="C23" s="9"/>
      <c r="D23" s="9"/>
    </row>
    <row r="24" ht="30" customHeight="1" spans="1:4" x14ac:dyDescent="0.25">
      <c r="A24" s="8" t="s">
        <v>20</v>
      </c>
      <c r="B24" s="9">
        <f>IF(B18&lt;2,"RIESGO: cobertura "&amp;TEXT(B18,"0.0")&amp;"x. Los intereses ya se llevan "&amp;TEXT(B20,"0%")&amp;" del EBIT. Lo financiero come a lo economico; cerca del limite la caida es exponencial.","Cobertura "&amp;TEXT(B18,"0.0")&amp;"x: manejable, pero vigila la tendencia.")</f>
      </c>
      <c r="C24" s="9"/>
      <c r="D24" s="9"/>
    </row>
  </sheetData>
  <mergeCells count="7">
    <mergeCell ref="A1:D1"/>
    <mergeCell ref="A2:D2"/>
    <mergeCell ref="A4:D4"/>
    <mergeCell ref="A14:D14"/>
    <mergeCell ref="A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2026-06-24T11:50:51Z</dcterms:created>
  <dcterms:modified xsi:type="dcterms:W3CDTF">2026-06-24T11:50:51Z</dcterms:modified>
</cp:coreProperties>
</file>