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6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<sst xmlns="http://schemas.openxmlformats.org/spreadsheetml/2006/main" count="21" uniqueCount="21">
  <si>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6 — Free Cash Flow (FCFF · FCFE · FCFD)</t>
  </si>
  <si>
    <t>Editá SOLO las celdas amarillas (entradas). Los cálculos y las conclusiones se actualizan solos.</t>
  </si>
  <si>
    <t>1) DATOS DE ENTRADA  (celdas amarillas)</t>
  </si>
  <si>
    <t>EBIT</t>
  </si>
  <si>
    <t>Tasa de impuesto</t>
  </si>
  <si>
    <t>Amortizaciones</t>
  </si>
  <si>
    <t>CAPEX (inversión en activo fijo)</t>
  </si>
  <si>
    <t>Δ Capital de trabajo</t>
  </si>
  <si>
    <t>Aumento de CxC + inventario − proveedores</t>
  </si>
  <si>
    <t>Intereses</t>
  </si>
  <si>
    <t>Nueva deuda neta (toma − amortización)</t>
  </si>
  <si>
    <t>Resultado neto contable</t>
  </si>
  <si>
    <t>2) CÁLCULOS E INDICADORES</t>
  </si>
  <si>
    <t>NOPAT</t>
  </si>
  <si>
    <t>FCFF (firma)</t>
  </si>
  <si>
    <t>FCFD (acreedores)</t>
  </si>
  <si>
    <t>FCFE (accionistas)</t>
  </si>
  <si>
    <t>FCFF − Resultado neto</t>
  </si>
  <si>
    <t>3) CONCLUSIONES AUTOMÁTICAS</t>
  </si>
  <si>
    <t>FCFF</t>
  </si>
  <si>
    <t>Reparto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</si>
</sst>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i/>
      <color rgb="FF777777"/>
      <sz val="9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0" xfId="0" applyNumberFormat="1" applyFont="1" applyFill="1"/>
    <xf numFmtId="0" fontId="5" fillId="0" borderId="0" xfId="0" applyFont="1"/>
    <xf numFmtId="0" fontId="8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290</v>
      </c>
    </row>
    <row r="8" spans="1:2" x14ac:dyDescent="0.25">
      <c r="A8" s="4" t="s">
        <v>6</v>
      </c>
      <c r="B8" s="5">
        <v>440</v>
      </c>
    </row>
    <row r="9" spans="1:4" x14ac:dyDescent="0.25">
      <c r="A9" s="4" t="s">
        <v>7</v>
      </c>
      <c r="B9" s="5">
        <v>720</v>
      </c>
      <c r="D9" s="7" t="s">
        <v>8</v>
      </c>
    </row>
    <row r="10" spans="1:2" x14ac:dyDescent="0.25">
      <c r="A10" s="4" t="s">
        <v>9</v>
      </c>
      <c r="B10" s="5">
        <v>560</v>
      </c>
    </row>
    <row r="11" spans="1:2" x14ac:dyDescent="0.25">
      <c r="A11" s="4" t="s">
        <v>10</v>
      </c>
      <c r="B11" s="5">
        <v>80</v>
      </c>
    </row>
    <row r="12" spans="1:2" x14ac:dyDescent="0.25">
      <c r="A12" s="4" t="s">
        <v>11</v>
      </c>
      <c r="B12" s="5">
        <v>175</v>
      </c>
    </row>
    <row r="14" ht="20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8">
        <f>B5*(1-B6)</f>
      </c>
    </row>
    <row r="16" spans="1:2" x14ac:dyDescent="0.25">
      <c r="A16" s="4" t="s">
        <v>14</v>
      </c>
      <c r="B16" s="8">
        <f>_xlfn.LET(np,B15,np+B7-B8-B9)</f>
      </c>
    </row>
    <row r="17" spans="1:2" x14ac:dyDescent="0.25">
      <c r="A17" s="4" t="s">
        <v>15</v>
      </c>
      <c r="B17" s="8">
        <f>B10-B11</f>
      </c>
    </row>
    <row r="18" spans="1:2" x14ac:dyDescent="0.25">
      <c r="A18" s="4" t="s">
        <v>16</v>
      </c>
      <c r="B18" s="8">
        <f>B16-B10*(1-B6)+B11</f>
      </c>
    </row>
    <row r="19" spans="1:2" x14ac:dyDescent="0.25">
      <c r="A19" s="4" t="s">
        <v>17</v>
      </c>
      <c r="B19" s="8">
        <f>B16-B12</f>
      </c>
    </row>
    <row r="21" ht="20" customHeight="1" spans="1:4" x14ac:dyDescent="0.25">
      <c r="A21" s="3" t="s">
        <v>18</v>
      </c>
      <c r="B21" s="3"/>
      <c r="C21" s="3"/>
      <c r="D21" s="3"/>
    </row>
    <row r="22" ht="30" customHeight="1" spans="1:4" x14ac:dyDescent="0.25">
      <c r="A22" s="9" t="s">
        <v>19</v>
      </c>
      <c r="B22" s="10">
        <f>"FCFF "&amp;TEXT(B16,"#,##0")&amp;" k vs resultado neto "&amp;TEXT(B12,"#,##0")&amp;" k. La diferencia ("&amp;TEXT(B19,"#,##0")&amp;" k) la explican el CAPEX y la variacion del capital de trabajo."</f>
      </c>
      <c r="C22" s="10"/>
      <c r="D22" s="10"/>
    </row>
    <row r="23" ht="30" customHeight="1" spans="1:4" x14ac:dyDescent="0.25">
      <c r="A23" s="9" t="s">
        <v>20</v>
      </c>
      <c r="B23" s="10">
        <f>IF(B18&lt;0,"El FCFE es negativo ("&amp;TEXT(B18,"#,##0")&amp;" k): el accionista no recibe caja; la empresa depende de nueva deuda.","El accionista dispone de "&amp;TEXT(B18,"#,##0")&amp;" k de caja libre.")&amp;" Los acreedores reciben "&amp;TEXT(B17,"#,##0")&amp;" k."</f>
      </c>
      <c r="C23" s="10"/>
      <c r="D23" s="10"/>
    </row>
  </sheetData>
  <mergeCells count="7">
    <mergeCell ref="A1:D1"/>
    <mergeCell ref="A2:D2"/>
    <mergeCell ref="A4:D4"/>
    <mergeCell ref="A14:D14"/>
    <mergeCell ref="A21:D21"/>
    <mergeCell ref="B22:D22"/>
    <mergeCell ref="B23:D2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2026-06-15T14:04:04Z</dcterms:created>
  <dcterms:modified xsi:type="dcterms:W3CDTF">2026-06-15T14:04:04Z</dcterms:modified>
</cp:coreProperties>
</file>