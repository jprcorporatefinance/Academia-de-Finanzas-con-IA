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mana 7" state="visible" r:id="rId4"/>
  </sheets>
  <calcPr calcId="171027"/>
</workbook>
</file>

<file path=xl/sharedStrings.xml><?xml version="1.0" encoding="utf-8"?>
<sst xmlns="http://schemas.openxmlformats.org/spreadsheetml/2006/main" count="19" uniqueCount="19">
  <si>
    <t>MODELO INTERACTIVO · Semana 7 — Capital de Trabajo y Rotaciones</t>
  </si>
  <si>
    <t>Editá SOLO las celdas amarillas (entradas). Los cálculos y las conclusiones se actualizan solos.</t>
  </si>
  <si>
    <t>1) DATOS DE ENTRADA  (celdas amarillas)</t>
  </si>
  <si>
    <t>Cuentas por cobrar</t>
  </si>
  <si>
    <t>Inventarios</t>
  </si>
  <si>
    <t>Proveedores</t>
  </si>
  <si>
    <t>Ventas anuales</t>
  </si>
  <si>
    <t>Costo de mercadería vendida</t>
  </si>
  <si>
    <t>2) CÁLCULOS E INDICADORES</t>
  </si>
  <si>
    <t>Días de cobranza (DSO)</t>
  </si>
  <si>
    <t>Días de inventario (DIO)</t>
  </si>
  <si>
    <t>Días de pago (DPO)</t>
  </si>
  <si>
    <t>Ciclo de conversión de caja</t>
  </si>
  <si>
    <t>Rotación de cuentas por cobrar</t>
  </si>
  <si>
    <t>Rotación de inventario</t>
  </si>
  <si>
    <t>Capital de trabajo neto</t>
  </si>
  <si>
    <t>3) CONCLUSIONES AUTOMÁTICAS</t>
  </si>
  <si>
    <t>Ciclo</t>
  </si>
  <si>
    <t>Palanca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</si>
</sst>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 &quot;días&quot;"/>
    <numFmt numFmtId="165" formatCode="0.00&quot;x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555555"/>
      <sz val="10"/>
    </font>
    <font>
      <b/>
      <color rgb="FFD4AF37"/>
      <sz val="11"/>
    </font>
    <font>
      <sz val="11"/>
    </font>
    <font>
      <b/>
      <sz val="11"/>
    </font>
    <font>
      <b/>
      <color rgb="FF1A2740"/>
      <sz val="11"/>
    </font>
    <font>
      <color rgb="FF0B5132"/>
      <sz val="11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0" xfId="0" applyFont="1" applyFill="1" applyAlignment="1">
      <alignment indent="1"/>
    </xf>
    <xf numFmtId="0" fontId="4" fillId="0" borderId="0" xfId="0" applyFont="1"/>
    <xf numFmtId="3" fontId="5" fillId="4" borderId="1" xfId="0" applyNumberFormat="1" applyFont="1" applyFill="1" applyBorder="1"/>
    <xf numFmtId="164" fontId="6" fillId="5" borderId="0" xfId="0" applyNumberFormat="1" applyFont="1" applyFill="1"/>
    <xf numFmtId="165" fontId="6" fillId="5" borderId="0" xfId="0" applyNumberFormat="1" applyFont="1" applyFill="1"/>
    <xf numFmtId="3" fontId="6" fillId="5" borderId="0" xfId="0" applyNumberFormat="1" applyFont="1" applyFill="1"/>
    <xf numFmtId="0" fontId="5" fillId="0" borderId="0" xfId="0" applyFont="1"/>
    <xf numFmtId="0" fontId="7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 showGridLines="0"/>
  </sheetViews>
  <sheetFormatPr defaultRowHeight="15" outlineLevelRow="0" outlineLevelCol="0" x14ac:dyDescent="55"/>
  <cols>
    <col min="1" max="1" width="42" customWidth="1"/>
    <col min="2" max="2" width="16" customWidth="1"/>
    <col min="3" max="3" width="14" customWidth="1"/>
    <col min="4" max="4" width="52" customWidth="1"/>
  </cols>
  <sheetData>
    <row r="1" ht="26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ht="20" customHeight="1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1850</v>
      </c>
    </row>
    <row r="6" spans="1:2" x14ac:dyDescent="0.25">
      <c r="A6" s="4" t="s">
        <v>4</v>
      </c>
      <c r="B6" s="5">
        <v>2400</v>
      </c>
    </row>
    <row r="7" spans="1:2" x14ac:dyDescent="0.25">
      <c r="A7" s="4" t="s">
        <v>5</v>
      </c>
      <c r="B7" s="5">
        <v>1280</v>
      </c>
    </row>
    <row r="8" spans="1:2" x14ac:dyDescent="0.25">
      <c r="A8" s="4" t="s">
        <v>6</v>
      </c>
      <c r="B8" s="5">
        <v>8200</v>
      </c>
    </row>
    <row r="9" spans="1:2" x14ac:dyDescent="0.25">
      <c r="A9" s="4" t="s">
        <v>7</v>
      </c>
      <c r="B9" s="5">
        <v>5740</v>
      </c>
    </row>
    <row r="11" ht="20" customHeight="1" spans="1:4" x14ac:dyDescent="0.25">
      <c r="A11" s="3" t="s">
        <v>8</v>
      </c>
      <c r="B11" s="3"/>
      <c r="C11" s="3"/>
      <c r="D11" s="3"/>
    </row>
    <row r="12" spans="1:2" x14ac:dyDescent="0.25">
      <c r="A12" s="4" t="s">
        <v>9</v>
      </c>
      <c r="B12" s="6">
        <f>B5/B8*365</f>
      </c>
    </row>
    <row r="13" spans="1:2" x14ac:dyDescent="0.25">
      <c r="A13" s="4" t="s">
        <v>10</v>
      </c>
      <c r="B13" s="6">
        <f>B6/B9*365</f>
      </c>
    </row>
    <row r="14" spans="1:2" x14ac:dyDescent="0.25">
      <c r="A14" s="4" t="s">
        <v>11</v>
      </c>
      <c r="B14" s="6">
        <f>B7/B9*365</f>
      </c>
    </row>
    <row r="15" spans="1:2" x14ac:dyDescent="0.25">
      <c r="A15" s="4" t="s">
        <v>12</v>
      </c>
      <c r="B15" s="6">
        <f>B12+B13-B14</f>
      </c>
    </row>
    <row r="16" spans="1:2" x14ac:dyDescent="0.25">
      <c r="A16" s="4" t="s">
        <v>13</v>
      </c>
      <c r="B16" s="7">
        <f>B8/B5</f>
      </c>
    </row>
    <row r="17" spans="1:2" x14ac:dyDescent="0.25">
      <c r="A17" s="4" t="s">
        <v>14</v>
      </c>
      <c r="B17" s="7">
        <f>B9/B6</f>
      </c>
    </row>
    <row r="18" spans="1:2" x14ac:dyDescent="0.25">
      <c r="A18" s="4" t="s">
        <v>15</v>
      </c>
      <c r="B18" s="8">
        <f>B5+B6-B7</f>
      </c>
    </row>
    <row r="20" ht="20" customHeight="1" spans="1:4" x14ac:dyDescent="0.25">
      <c r="A20" s="3" t="s">
        <v>16</v>
      </c>
      <c r="B20" s="3"/>
      <c r="C20" s="3"/>
      <c r="D20" s="3"/>
    </row>
    <row r="21" ht="30" customHeight="1" spans="1:4" x14ac:dyDescent="0.25">
      <c r="A21" s="9" t="s">
        <v>17</v>
      </c>
      <c r="B21" s="10">
        <f>"Tu plata queda atrapada "&amp;TEXT(B15,"0")&amp;" dias (DSO "&amp;TEXT(B12,"0")&amp;" + DIO "&amp;TEXT(B13,"0")&amp;" - DPO "&amp;TEXT(B14,"0")&amp;"). "&amp;IF(B15&gt;90,"Es un ciclo largo: prioriza cobrar mas rapido y rotar el inventario.","Ciclo razonable.")</f>
      </c>
      <c r="C21" s="10"/>
      <c r="D21" s="10"/>
    </row>
    <row r="22" ht="30" customHeight="1" spans="1:4" x14ac:dyDescent="0.25">
      <c r="A22" s="9" t="s">
        <v>18</v>
      </c>
      <c r="B22" s="10">
        <f>"Cada dia menos de DSO o DIO, y cada dia mas de DPO negociado con proveedores, libera caja sin pagar descubierto. El capital de trabajo neto hoy es "&amp;TEXT(B18,"#,##0")&amp;" k."</f>
      </c>
      <c r="C22" s="10"/>
      <c r="D22" s="10"/>
    </row>
  </sheetData>
  <mergeCells count="7">
    <mergeCell ref="A1:D1"/>
    <mergeCell ref="A2:D2"/>
    <mergeCell ref="A4:D4"/>
    <mergeCell ref="A11:D11"/>
    <mergeCell ref="A20:D20"/>
    <mergeCell ref="B21:D21"/>
    <mergeCell ref="B22:D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Semana 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Academia de Finanzas Corporativas + IA</dc:creator>
  <dc:title/>
  <dc:subject/>
  <dc:description/>
  <cp:keywords/>
  <cp:category/>
  <cp:lastModifiedBy>Unknown</cp:lastModifiedBy>
  <dcterms:created xsi:type="dcterms:W3CDTF">2026-06-15T14:43:00Z</dcterms:created>
  <dcterms:modified xsi:type="dcterms:W3CDTF">2026-06-15T14:43:00Z</dcterms:modified>
</cp:coreProperties>
</file>