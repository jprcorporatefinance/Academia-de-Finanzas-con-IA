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8" state="visible" r:id="rId4"/>
  </sheets>
  <calcPr calcId="171027"/>
</workbook>
</file>

<file path=xl/sharedStrings.xml><?xml version="1.0" encoding="utf-8"?>
<sst xmlns="http://schemas.openxmlformats.org/spreadsheetml/2006/main" count="23" uniqueCount="23">
  <si>
    <t>MODELO INTERACTIVO · Semana 8 — Bienes de Uso y CAPEX — Libro vs. Mercado</t>
  </si>
  <si>
    <t>Editá SOLO las celdas amarillas (entradas). Los cálculos y las conclusiones se actualizan solos.</t>
  </si>
  <si>
    <t>1) DATOS DE ENTRADA  (celdas amarillas)</t>
  </si>
  <si>
    <t>Terreno (libro)</t>
  </si>
  <si>
    <t>Terreno (mercado)</t>
  </si>
  <si>
    <t>Edificio (libro)</t>
  </si>
  <si>
    <t>Edificio (mercado)</t>
  </si>
  <si>
    <t>Maquinaria (libro)</t>
  </si>
  <si>
    <t>Maquinaria (mercado, parte obsoleta)</t>
  </si>
  <si>
    <t>Rodados (libro)</t>
  </si>
  <si>
    <t>Rodados (mercado)</t>
  </si>
  <si>
    <t>Marca y cartera (mercado, no contable)</t>
  </si>
  <si>
    <t>CAPEX del período</t>
  </si>
  <si>
    <t>Amortización del período</t>
  </si>
  <si>
    <t>2) CÁLCULOS E INDICADORES</t>
  </si>
  <si>
    <t>Bienes de uso (libro)</t>
  </si>
  <si>
    <t>Bienes de uso (mercado)</t>
  </si>
  <si>
    <t>Brecha tangibles (mercado − libro)</t>
  </si>
  <si>
    <t>Brecha total + intangibles</t>
  </si>
  <si>
    <t>CAPEX neto (CAPEX − amortización)</t>
  </si>
  <si>
    <t>3) CONCLUSIONES AUTOMÁTICAS</t>
  </si>
  <si>
    <t>Valor real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</si>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</sst>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3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350</v>
      </c>
    </row>
    <row r="6" spans="1:2" x14ac:dyDescent="0.25">
      <c r="A6" s="4" t="s">
        <v>4</v>
      </c>
      <c r="B6" s="5">
        <v>900</v>
      </c>
    </row>
    <row r="7" spans="1:2" x14ac:dyDescent="0.25">
      <c r="A7" s="4" t="s">
        <v>5</v>
      </c>
      <c r="B7" s="5">
        <v>620</v>
      </c>
    </row>
    <row r="8" spans="1:2" x14ac:dyDescent="0.25">
      <c r="A8" s="4" t="s">
        <v>6</v>
      </c>
      <c r="B8" s="5">
        <v>780</v>
      </c>
    </row>
    <row r="9" spans="1:2" x14ac:dyDescent="0.25">
      <c r="A9" s="4" t="s">
        <v>7</v>
      </c>
      <c r="B9" s="5">
        <v>1450</v>
      </c>
    </row>
    <row r="10" spans="1:2" x14ac:dyDescent="0.25">
      <c r="A10" s="4" t="s">
        <v>8</v>
      </c>
      <c r="B10" s="5">
        <v>1150</v>
      </c>
    </row>
    <row r="11" spans="1:2" x14ac:dyDescent="0.25">
      <c r="A11" s="4" t="s">
        <v>9</v>
      </c>
      <c r="B11" s="5">
        <v>140</v>
      </c>
    </row>
    <row r="12" spans="1:2" x14ac:dyDescent="0.25">
      <c r="A12" s="4" t="s">
        <v>10</v>
      </c>
      <c r="B12" s="5">
        <v>110</v>
      </c>
    </row>
    <row r="13" spans="1:2" x14ac:dyDescent="0.25">
      <c r="A13" s="4" t="s">
        <v>11</v>
      </c>
      <c r="B13" s="5">
        <v>650</v>
      </c>
    </row>
    <row r="14" spans="1:2" x14ac:dyDescent="0.25">
      <c r="A14" s="4" t="s">
        <v>12</v>
      </c>
      <c r="B14" s="5">
        <v>440</v>
      </c>
    </row>
    <row r="15" spans="1:2" x14ac:dyDescent="0.25">
      <c r="A15" s="4" t="s">
        <v>13</v>
      </c>
      <c r="B15" s="5">
        <v>290</v>
      </c>
    </row>
    <row r="17" ht="20" customHeight="1" spans="1:4" x14ac:dyDescent="0.25">
      <c r="A17" s="3" t="s">
        <v>14</v>
      </c>
      <c r="B17" s="3"/>
      <c r="C17" s="3"/>
      <c r="D17" s="3"/>
    </row>
    <row r="18" spans="1:2" x14ac:dyDescent="0.25">
      <c r="A18" s="4" t="s">
        <v>15</v>
      </c>
      <c r="B18" s="6">
        <f>B5+B7+B9+B11</f>
      </c>
    </row>
    <row r="19" spans="1:2" x14ac:dyDescent="0.25">
      <c r="A19" s="4" t="s">
        <v>16</v>
      </c>
      <c r="B19" s="6">
        <f>B6+B8+B10+B12</f>
      </c>
    </row>
    <row r="20" spans="1:2" x14ac:dyDescent="0.25">
      <c r="A20" s="4" t="s">
        <v>17</v>
      </c>
      <c r="B20" s="6">
        <f>B19-B18</f>
      </c>
    </row>
    <row r="21" spans="1:2" x14ac:dyDescent="0.25">
      <c r="A21" s="4" t="s">
        <v>18</v>
      </c>
      <c r="B21" s="6">
        <f>B19-B18+B13</f>
      </c>
    </row>
    <row r="22" spans="1:2" x14ac:dyDescent="0.25">
      <c r="A22" s="4" t="s">
        <v>19</v>
      </c>
      <c r="B22" s="6">
        <f>B14-B15</f>
      </c>
    </row>
    <row r="24" ht="20" customHeight="1" spans="1:4" x14ac:dyDescent="0.25">
      <c r="A24" s="3" t="s">
        <v>20</v>
      </c>
      <c r="B24" s="3"/>
      <c r="C24" s="3"/>
      <c r="D24" s="3"/>
    </row>
    <row r="25" ht="30" customHeight="1" spans="1:4" x14ac:dyDescent="0.25">
      <c r="A25" s="7" t="s">
        <v>21</v>
      </c>
      <c r="B25" s="8">
        <f>"Los bienes de uso valen "&amp;TEXT(B19,"#,##0")&amp;" k a mercado vs "&amp;TEXT(B18,"#,##0")&amp;" k en libros. Sumando la marca/cartera no contabilizada, el valor oculto es "&amp;TEXT(B21,"#,##0")&amp;" k."</f>
      </c>
      <c r="C25" s="8"/>
      <c r="D25" s="8"/>
    </row>
    <row r="26" ht="30" customHeight="1" spans="1:4" x14ac:dyDescent="0.25">
      <c r="A26" s="7" t="s">
        <v>22</v>
      </c>
      <c r="B26" s="8">
        <f>IF(B22&gt;0,"La empresa esta INVIRTIENDO para crecer: el CAPEX ("&amp;TEXT(B14,"#,##0")&amp;" k) supera a la amortizacion ("&amp;TEXT(B15,"#,##0")&amp;" k) en "&amp;TEXT(B22,"#,##0")&amp;" k.","El CAPEX no alcanza a reponer la amortizacion: la capacidad productiva se esta consumiendo.")</f>
      </c>
      <c r="C26" s="8"/>
      <c r="D26" s="8"/>
    </row>
  </sheetData>
  <mergeCells count="7">
    <mergeCell ref="A1:D1"/>
    <mergeCell ref="A2:D2"/>
    <mergeCell ref="A4:D4"/>
    <mergeCell ref="A17:D17"/>
    <mergeCell ref="A24:D24"/>
    <mergeCell ref="B25:D25"/>
    <mergeCell ref="B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2026-06-15T14:43:00Z</dcterms:created>
  <dcterms:modified xsi:type="dcterms:W3CDTF">2026-06-15T14:43:00Z</dcterms:modified>
</cp:coreProperties>
</file>