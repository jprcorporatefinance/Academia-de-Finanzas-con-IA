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9" state="visible" r:id="rId4"/>
  </sheets>
  <calcPr calcId="171027"/>
</workbook>
</file>

<file path=xl/sharedStrings.xml><?xml version="1.0" encoding="utf-8"?>
<sst xmlns="http://schemas.openxmlformats.org/spreadsheetml/2006/main" count="21" uniqueCount="21">
  <si>
    <t>MODELO INTERACTIVO · Semana 9 — WACC para Mercados Emergentes</t>
  </si>
  <si>
    <t>Editá SOLO las celdas amarillas (entradas). Los cálculos y las conclusiones se actualizan solos.</t>
  </si>
  <si>
    <t>1) DATOS DE ENTRADA  (celdas amarillas)</t>
  </si>
  <si>
    <t>Tasa libre de riesgo EE.UU.</t>
  </si>
  <si>
    <t>Equity Risk Premium (maduro)</t>
  </si>
  <si>
    <t>Riesgo país</t>
  </si>
  <si>
    <t>Prima por tamaño (PyME)</t>
  </si>
  <si>
    <t>Beta desapalancada (sector)</t>
  </si>
  <si>
    <t>Costo de deuda (antes de impuesto)</t>
  </si>
  <si>
    <t>Tasa de impuesto</t>
  </si>
  <si>
    <t>Peso de la deuda D/V</t>
  </si>
  <si>
    <t>2) CÁLCULOS E INDICADORES</t>
  </si>
  <si>
    <t>Peso del equity E/V</t>
  </si>
  <si>
    <t>Relación D/E</t>
  </si>
  <si>
    <t>Beta apalancada (Hamada)</t>
  </si>
  <si>
    <t>Costo del equity (Ke)</t>
  </si>
  <si>
    <t>Costo de deuda después de impuesto</t>
  </si>
  <si>
    <t>WACC</t>
  </si>
  <si>
    <t>3) CONCLUSIONES AUTOMÁTICAS</t>
  </si>
  <si>
    <t>Composición</t>
  </si>
  <si>
    <t>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</si>
</sst>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164" fontId="5" fillId="4" borderId="1" xfId="0" applyNumberFormat="1" applyFont="1" applyFill="1" applyBorder="1"/>
    <xf numFmtId="4" fontId="5" fillId="4" borderId="1" xfId="0" applyNumberFormat="1" applyFont="1" applyFill="1" applyBorder="1"/>
    <xf numFmtId="164" fontId="6" fillId="5" borderId="0" xfId="0" applyNumberFormat="1" applyFont="1" applyFill="1"/>
    <xf numFmtId="165" fontId="6" fillId="5" borderId="0" xfId="0" applyNumberFormat="1" applyFont="1" applyFill="1"/>
    <xf numFmtId="4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0.043</v>
      </c>
    </row>
    <row r="6" spans="1:2" x14ac:dyDescent="0.25">
      <c r="A6" s="4" t="s">
        <v>4</v>
      </c>
      <c r="B6" s="5">
        <v>0.055</v>
      </c>
    </row>
    <row r="7" spans="1:2" x14ac:dyDescent="0.25">
      <c r="A7" s="4" t="s">
        <v>5</v>
      </c>
      <c r="B7" s="5">
        <v>0.065</v>
      </c>
    </row>
    <row r="8" spans="1:2" x14ac:dyDescent="0.25">
      <c r="A8" s="4" t="s">
        <v>6</v>
      </c>
      <c r="B8" s="5">
        <v>0.035</v>
      </c>
    </row>
    <row r="9" spans="1:2" x14ac:dyDescent="0.25">
      <c r="A9" s="4" t="s">
        <v>7</v>
      </c>
      <c r="B9" s="6">
        <v>0.85</v>
      </c>
    </row>
    <row r="10" spans="1:2" x14ac:dyDescent="0.25">
      <c r="A10" s="4" t="s">
        <v>8</v>
      </c>
      <c r="B10" s="5">
        <v>0.18</v>
      </c>
    </row>
    <row r="11" spans="1:2" x14ac:dyDescent="0.25">
      <c r="A11" s="4" t="s">
        <v>9</v>
      </c>
      <c r="B11" s="5">
        <v>0.35</v>
      </c>
    </row>
    <row r="12" spans="1:2" x14ac:dyDescent="0.25">
      <c r="A12" s="4" t="s">
        <v>10</v>
      </c>
      <c r="B12" s="5">
        <v>0.45</v>
      </c>
    </row>
    <row r="14" ht="20" customHeight="1" spans="1:4" x14ac:dyDescent="0.25">
      <c r="A14" s="3" t="s">
        <v>11</v>
      </c>
      <c r="B14" s="3"/>
      <c r="C14" s="3"/>
      <c r="D14" s="3"/>
    </row>
    <row r="15" spans="1:2" x14ac:dyDescent="0.25">
      <c r="A15" s="4" t="s">
        <v>12</v>
      </c>
      <c r="B15" s="7">
        <f>1-B12</f>
      </c>
    </row>
    <row r="16" spans="1:2" x14ac:dyDescent="0.25">
      <c r="A16" s="4" t="s">
        <v>13</v>
      </c>
      <c r="B16" s="8">
        <f>B12/B15</f>
      </c>
    </row>
    <row r="17" spans="1:2" x14ac:dyDescent="0.25">
      <c r="A17" s="4" t="s">
        <v>14</v>
      </c>
      <c r="B17" s="9">
        <f>B9*(1+(1-B11)*B16)</f>
      </c>
    </row>
    <row r="18" spans="1:2" x14ac:dyDescent="0.25">
      <c r="A18" s="4" t="s">
        <v>15</v>
      </c>
      <c r="B18" s="7">
        <f>_xlfn.LET(b,B17,B5+b*B6+B7+B8)</f>
      </c>
    </row>
    <row r="19" spans="1:2" x14ac:dyDescent="0.25">
      <c r="A19" s="4" t="s">
        <v>16</v>
      </c>
      <c r="B19" s="7">
        <f>B10*(1-B11)</f>
      </c>
    </row>
    <row r="20" spans="1:2" x14ac:dyDescent="0.25">
      <c r="A20" s="4" t="s">
        <v>17</v>
      </c>
      <c r="B20" s="7">
        <f>B15*B18+B12*B19</f>
      </c>
    </row>
    <row r="22" ht="20" customHeight="1" spans="1:4" x14ac:dyDescent="0.25">
      <c r="A22" s="3" t="s">
        <v>18</v>
      </c>
      <c r="B22" s="3"/>
      <c r="C22" s="3"/>
      <c r="D22" s="3"/>
    </row>
    <row r="23" ht="30" customHeight="1" spans="1:4" x14ac:dyDescent="0.25">
      <c r="A23" s="10" t="s">
        <v>19</v>
      </c>
      <c r="B23" s="11">
        <f>"Ke "&amp;TEXT(B18,"0.0%")&amp;" = Rf "&amp;TEXT(B5,"0.0%")&amp;" + beta·ERP "&amp;TEXT(B17*B6,"0.0%")&amp;" + riesgo pais "&amp;TEXT(B7,"0.0%")&amp;" + tamano "&amp;TEXT(B8,"0.0%")&amp;". El riesgo pais y el tamano explican gran parte del costo."</f>
      </c>
      <c r="C23" s="11"/>
      <c r="D23" s="11"/>
    </row>
    <row r="24" ht="30" customHeight="1" spans="1:4" x14ac:dyDescent="0.25">
      <c r="A24" s="10" t="s">
        <v>20</v>
      </c>
      <c r="B24" s="11">
        <f>"WACC "&amp;TEXT(B20,"0.0%")&amp;": esta es la rentabilidad minima (ROIC) que el negocio debe superar para crear valor en tu mercado."</f>
      </c>
      <c r="C24" s="11"/>
      <c r="D24" s="11"/>
    </row>
  </sheetData>
  <mergeCells count="7">
    <mergeCell ref="A1:D1"/>
    <mergeCell ref="A2:D2"/>
    <mergeCell ref="A4:D4"/>
    <mergeCell ref="A14:D14"/>
    <mergeCell ref="A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2026-06-15T14:04:05Z</dcterms:created>
  <dcterms:modified xsi:type="dcterms:W3CDTF">2026-06-15T14:04:05Z</dcterms:modified>
</cp:coreProperties>
</file>