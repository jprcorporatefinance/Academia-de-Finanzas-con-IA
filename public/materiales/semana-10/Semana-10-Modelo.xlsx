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mana 10" state="visible" r:id="rId4"/>
  </sheets>
  <calcPr calcId="171027"/>
</workbook>
</file>

<file path=xl/sharedStrings.xml><?xml version="1.0" encoding="utf-8"?>
<sst xmlns="http://schemas.openxmlformats.org/spreadsheetml/2006/main" count="25" uniqueCount="24">
  <si>
    <t>MODELO INTERACTIVO · Semana 10 — Apalancamiento y Riesgo</t>
  </si>
  <si>
    <t>Editá SOLO las celdas amarillas (entradas). Los cálculos y las conclusiones se actualizan solos.</t>
  </si>
  <si>
    <t>1) DATOS DE ENTRADA  (celdas amarillas)</t>
  </si>
  <si>
    <t>ROIC (rinde el capital)</t>
  </si>
  <si>
    <t>Costo de deuda (antes de impuesto)</t>
  </si>
  <si>
    <t>Tasa de impuesto</t>
  </si>
  <si>
    <t>Capital total (D + E)</t>
  </si>
  <si>
    <t>EBIT</t>
  </si>
  <si>
    <t>Nivel de deuda D/(D+E)</t>
  </si>
  <si>
    <t>2) CÁLCULOS E INDICADORES</t>
  </si>
  <si>
    <t>Costo de deuda después de impuesto</t>
  </si>
  <si>
    <t>Deuda</t>
  </si>
  <si>
    <t>Patrimonio</t>
  </si>
  <si>
    <t>Relación D/E</t>
  </si>
  <si>
    <t>ROE apalancado</t>
  </si>
  <si>
    <t>Intereses</t>
  </si>
  <si>
    <t>Cobertura de intereses</t>
  </si>
  <si>
    <t>Spread ROIC − Kd(1−t)</t>
  </si>
  <si>
    <t>3) Sensibilidad del ROE al nivel de deuda  (matriz dinámica · si no ves valores, presioná F9)</t>
  </si>
  <si>
    <t>Matriz dinámica: la columna de ROE se calcula con LET + SEQUENCE para cada nivel de deuda de 0% a 80%.</t>
  </si>
  <si>
    <t>ROE resultante</t>
  </si>
  <si>
    <t>4) CONCLUSIONES AUTOMÁTICAS</t>
  </si>
  <si>
    <t>Multiplicador</t>
  </si>
  <si>
    <t>Riesgo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</si>
</sst>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0&quot;x&quot;"/>
  </numFmts>
  <fonts count="11" x14ac:knownFonts="1">
    <font>
      <color theme="1"/>
      <family val="2"/>
      <scheme val="minor"/>
      <sz val="11"/>
      <name val="Calibri"/>
    </font>
    <font>
      <b/>
      <color rgb="FFFFFFFF"/>
      <sz val="14"/>
    </font>
    <font>
      <i/>
      <color rgb="FF555555"/>
      <sz val="10"/>
    </font>
    <font>
      <b/>
      <color rgb="FFD4AF37"/>
      <sz val="11"/>
    </font>
    <font>
      <sz val="11"/>
    </font>
    <font>
      <b/>
      <sz val="11"/>
    </font>
    <font>
      <b/>
      <color rgb="FF1A2740"/>
      <sz val="11"/>
    </font>
    <font>
      <i/>
      <color rgb="FF777777"/>
      <sz val="9"/>
    </font>
    <font>
      <b/>
      <color rgb="FFFFFFFF"/>
      <sz val="10"/>
    </font>
    <font>
      <sz val="10"/>
    </font>
    <font>
      <color rgb="FF0B5132"/>
      <sz val="11"/>
    </font>
  </fonts>
  <fills count="8">
    <fill>
      <patternFill patternType="none"/>
    </fill>
    <fill>
      <patternFill patternType="gray125"/>
    </fill>
    <fill>
      <patternFill patternType="solid">
        <fgColor rgb="FF0B1120"/>
      </patternFill>
    </fill>
    <fill>
      <patternFill patternType="solid">
        <fgColor rgb="FF111A2E"/>
      </patternFill>
    </fill>
    <fill>
      <patternFill patternType="solid">
        <fgColor rgb="FFFFF3C4"/>
      </patternFill>
    </fill>
    <fill>
      <patternFill patternType="solid">
        <fgColor rgb="FFEAF1FB"/>
      </patternFill>
    </fill>
    <fill>
      <patternFill patternType="solid">
        <fgColor rgb="FF243453"/>
      </patternFill>
    </fill>
    <fill>
      <patternFill patternType="solid">
        <fgColor rgb="FFE5F6EC"/>
      </patternFill>
    </fill>
  </fills>
  <borders count="2">
    <border>
      <left/>
      <right/>
      <top/>
      <bottom/>
      <diagonal/>
    </border>
    <border>
      <left style="thin">
        <color rgb="FFBFA12A"/>
      </left>
      <right style="thin">
        <color rgb="FFBFA12A"/>
      </right>
      <top style="thin">
        <color rgb="FFBFA12A"/>
      </top>
      <bottom style="thin">
        <color rgb="FFBFA12A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/>
    <xf numFmtId="0" fontId="3" fillId="3" borderId="0" xfId="0" applyFont="1" applyFill="1" applyAlignment="1">
      <alignment indent="1"/>
    </xf>
    <xf numFmtId="0" fontId="4" fillId="0" borderId="0" xfId="0" applyFont="1"/>
    <xf numFmtId="164" fontId="5" fillId="4" borderId="1" xfId="0" applyNumberFormat="1" applyFont="1" applyFill="1" applyBorder="1"/>
    <xf numFmtId="3" fontId="5" fillId="4" borderId="1" xfId="0" applyNumberFormat="1" applyFont="1" applyFill="1" applyBorder="1"/>
    <xf numFmtId="164" fontId="6" fillId="5" borderId="0" xfId="0" applyNumberFormat="1" applyFont="1" applyFill="1"/>
    <xf numFmtId="3" fontId="6" fillId="5" borderId="0" xfId="0" applyNumberFormat="1" applyFont="1" applyFill="1"/>
    <xf numFmtId="165" fontId="6" fillId="5" borderId="0" xfId="0" applyNumberFormat="1" applyFont="1" applyFill="1"/>
    <xf numFmtId="0" fontId="7" fillId="0" borderId="0" xfId="0" applyFont="1"/>
    <xf numFmtId="0" fontId="8" fillId="6" borderId="0" xfId="0" applyFont="1" applyFill="1"/>
    <xf numFmtId="164" fontId="9" fillId="0" borderId="0" xfId="0" applyNumberFormat="1" applyFont="1"/>
    <xf numFmtId="0" fontId="5" fillId="0" borderId="0" xfId="0" applyFont="1"/>
    <xf numFmtId="0" fontId="10" fillId="7" borderId="0" xfId="0" applyFont="1" applyFill="1" applyAlignment="1">
      <alignment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workbookViewId="0" showGridLines="0"/>
  </sheetViews>
  <sheetFormatPr defaultRowHeight="15" outlineLevelRow="0" outlineLevelCol="0" x14ac:dyDescent="55"/>
  <cols>
    <col min="1" max="1" width="42" customWidth="1"/>
    <col min="2" max="2" width="16" customWidth="1"/>
    <col min="3" max="3" width="14" customWidth="1"/>
    <col min="4" max="4" width="52" customWidth="1"/>
  </cols>
  <sheetData>
    <row r="1" ht="26" customHeight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/>
      <c r="D2" s="2"/>
    </row>
    <row r="4" ht="20" customHeight="1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0.16</v>
      </c>
    </row>
    <row r="6" spans="1:2" x14ac:dyDescent="0.25">
      <c r="A6" s="4" t="s">
        <v>4</v>
      </c>
      <c r="B6" s="5">
        <v>0.18</v>
      </c>
    </row>
    <row r="7" spans="1:2" x14ac:dyDescent="0.25">
      <c r="A7" s="4" t="s">
        <v>5</v>
      </c>
      <c r="B7" s="5">
        <v>0.35</v>
      </c>
    </row>
    <row r="8" spans="1:2" x14ac:dyDescent="0.25">
      <c r="A8" s="4" t="s">
        <v>6</v>
      </c>
      <c r="B8" s="6">
        <v>5000</v>
      </c>
    </row>
    <row r="9" spans="1:2" x14ac:dyDescent="0.25">
      <c r="A9" s="4" t="s">
        <v>7</v>
      </c>
      <c r="B9" s="6">
        <v>830</v>
      </c>
    </row>
    <row r="10" spans="1:2" x14ac:dyDescent="0.25">
      <c r="A10" s="4" t="s">
        <v>8</v>
      </c>
      <c r="B10" s="5">
        <v>0.45</v>
      </c>
    </row>
    <row r="12" ht="20" customHeight="1" spans="1:4" x14ac:dyDescent="0.25">
      <c r="A12" s="3" t="s">
        <v>9</v>
      </c>
      <c r="B12" s="3"/>
      <c r="C12" s="3"/>
      <c r="D12" s="3"/>
    </row>
    <row r="13" spans="1:2" x14ac:dyDescent="0.25">
      <c r="A13" s="4" t="s">
        <v>10</v>
      </c>
      <c r="B13" s="7">
        <f>B6*(1-B7)</f>
      </c>
    </row>
    <row r="14" spans="1:2" x14ac:dyDescent="0.25">
      <c r="A14" s="4" t="s">
        <v>11</v>
      </c>
      <c r="B14" s="8">
        <f>B8*B10</f>
      </c>
    </row>
    <row r="15" spans="1:2" x14ac:dyDescent="0.25">
      <c r="A15" s="4" t="s">
        <v>12</v>
      </c>
      <c r="B15" s="8">
        <f>B8*(1-B10)</f>
      </c>
    </row>
    <row r="16" spans="1:2" x14ac:dyDescent="0.25">
      <c r="A16" s="4" t="s">
        <v>13</v>
      </c>
      <c r="B16" s="9">
        <f>B14/B15</f>
      </c>
    </row>
    <row r="17" spans="1:2" x14ac:dyDescent="0.25">
      <c r="A17" s="4" t="s">
        <v>14</v>
      </c>
      <c r="B17" s="7">
        <f>B5+(B5-B13)*B16</f>
      </c>
    </row>
    <row r="18" spans="1:2" x14ac:dyDescent="0.25">
      <c r="A18" s="4" t="s">
        <v>15</v>
      </c>
      <c r="B18" s="8">
        <f>B14*B6</f>
      </c>
    </row>
    <row r="19" spans="1:2" x14ac:dyDescent="0.25">
      <c r="A19" s="4" t="s">
        <v>16</v>
      </c>
      <c r="B19" s="9">
        <f>B9/B18</f>
      </c>
    </row>
    <row r="20" spans="1:2" x14ac:dyDescent="0.25">
      <c r="A20" s="4" t="s">
        <v>17</v>
      </c>
      <c r="B20" s="7">
        <f>B5-B13</f>
      </c>
    </row>
    <row r="22" ht="20" customHeight="1" spans="1:4" x14ac:dyDescent="0.25">
      <c r="A22" s="3" t="s">
        <v>18</v>
      </c>
      <c r="B22" s="3"/>
      <c r="C22" s="3"/>
      <c r="D22" s="3"/>
    </row>
    <row r="23" spans="1:4" x14ac:dyDescent="0.25">
      <c r="A23" s="10" t="s">
        <v>19</v>
      </c>
      <c r="B23" s="10"/>
      <c r="C23" s="10"/>
      <c r="D23" s="10"/>
    </row>
    <row r="24" spans="1:2" x14ac:dyDescent="0.25">
      <c r="A24" s="11" t="s">
        <v>8</v>
      </c>
      <c r="B24" s="11" t="s">
        <v>20</v>
      </c>
    </row>
    <row r="25" spans="1:2" x14ac:dyDescent="0.25">
      <c r="A25" s="12">
        <f>_xlfn.SEQUENCE(9,1,0,0.1)</f>
      </c>
      <c r="B25" s="12">
        <f>_xlfn.LET(dr,_xlfn.SEQUENCE(9,1,0,0.1),de,dr/(1-dr),B5+(B5-B13)*de)</f>
      </c>
    </row>
    <row r="35" ht="20" customHeight="1" spans="1:4" x14ac:dyDescent="0.25">
      <c r="A35" s="3" t="s">
        <v>21</v>
      </c>
      <c r="B35" s="3"/>
      <c r="C35" s="3"/>
      <c r="D35" s="3"/>
    </row>
    <row r="36" ht="30" customHeight="1" spans="1:4" x14ac:dyDescent="0.25">
      <c r="A36" s="13" t="s">
        <v>22</v>
      </c>
      <c r="B36" s="14">
        <f>IF(B20&gt;0,"La deuda MULTIPLICA: el capital rinde "&amp;TEXT(B5,"0.0%")&amp;" y la deuda cuesta "&amp;TEXT(B13,"0.0%")&amp;" (post impuesto). Mas deuda sube el ROE.","La deuda DESTRUYE: el capital rinde "&amp;TEXT(B5,"0.0%")&amp;" pero la deuda cuesta "&amp;TEXT(B13,"0.0%")&amp;". Endeudarse baja el ROE.")</f>
      </c>
      <c r="C36" s="14"/>
      <c r="D36" s="14"/>
    </row>
    <row r="37" ht="30" customHeight="1" spans="1:4" x14ac:dyDescent="0.25">
      <c r="A37" s="13" t="s">
        <v>23</v>
      </c>
      <c r="B37" s="14">
        <f>IF(B19&lt;2,"RIESGO: cobertura "&amp;TEXT(B19,"0.0")&amp;"x. El apalancamiento ya es peligroso; ante una baja de ventas, la caida es exponencial.","Cobertura "&amp;TEXT(B19,"0.0")&amp;"x: el nivel de deuda es manejable.")</f>
      </c>
      <c r="C37" s="14"/>
      <c r="D37" s="14"/>
    </row>
  </sheetData>
  <mergeCells count="9">
    <mergeCell ref="A1:D1"/>
    <mergeCell ref="A2:D2"/>
    <mergeCell ref="A4:D4"/>
    <mergeCell ref="A12:D12"/>
    <mergeCell ref="A22:D22"/>
    <mergeCell ref="A23:D23"/>
    <mergeCell ref="A35:D35"/>
    <mergeCell ref="B36:D36"/>
    <mergeCell ref="B37:D3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Semana 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Academia de Finanzas Corporativas + IA</dc:creator>
  <dc:title/>
  <dc:subject/>
  <dc:description/>
  <cp:keywords/>
  <cp:category/>
  <cp:lastModifiedBy>Unknown</cp:lastModifiedBy>
  <dcterms:created xsi:type="dcterms:W3CDTF">2026-06-24T11:50:51Z</dcterms:created>
  <dcterms:modified xsi:type="dcterms:W3CDTF">2026-06-24T11:50:51Z</dcterms:modified>
</cp:coreProperties>
</file>