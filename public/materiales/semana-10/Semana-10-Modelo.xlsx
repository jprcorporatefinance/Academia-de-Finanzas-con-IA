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10" state="visible" r:id="rId4"/>
  </sheets>
  <calcPr calcId="171027"/>
</workbook>
</file>

<file path=xl/sharedStrings.xml><?xml version="1.0" encoding="utf-8"?>
<sst xmlns="http://schemas.openxmlformats.org/spreadsheetml/2006/main" count="25" uniqueCount="24">
  <si>
    <t>MODELO INTERACTIVO · Semana 10 — Apalancamiento y Riesgo</t>
  </si>
  <si>
    <t>Editá SOLO las celdas amarillas (entradas). Los cálculos y las conclusiones se actualizan solos.</t>
  </si>
  <si>
    <t>1) DATOS DE ENTRADA  (celdas amarillas)</t>
  </si>
  <si>
    <t>ROIC (rinde el capital)</t>
  </si>
  <si>
    <t>Costo de deuda (antes de impuesto)</t>
  </si>
  <si>
    <t>Tasa de impuesto</t>
  </si>
  <si>
    <t>Capital total (D + E)</t>
  </si>
  <si>
    <t>EBIT</t>
  </si>
  <si>
    <t>Nivel de deuda D/(D+E)</t>
  </si>
  <si>
    <t>2) CÁLCULOS E INDICADORES</t>
  </si>
  <si>
    <t>Costo de deuda después de impuesto</t>
  </si>
  <si>
    <t>Deuda</t>
  </si>
  <si>
    <t>Patrimonio</t>
  </si>
  <si>
    <t>Relación D/E</t>
  </si>
  <si>
    <t>ROE apalancado</t>
  </si>
  <si>
    <t>Intereses</t>
  </si>
  <si>
    <t>Cobertura de intereses</t>
  </si>
  <si>
    <t>Spread ROIC − Kd(1−t)</t>
  </si>
  <si>
    <t>3) Sensibilidad del ROE al nivel de deuda  (matriz dinámica · si no ves valores, presioná F9)</t>
  </si>
  <si>
    <t>Matriz dinámica: la columna de ROE se calcula con LET + SEQUENCE para cada nivel de deuda de 0% a 80%.</t>
  </si>
  <si>
    <t>ROE resultante</t>
  </si>
  <si>
    <t>4) CONCLUSIONES AUTOMÁTICAS</t>
  </si>
  <si>
    <t>Multiplicador</t>
  </si>
  <si>
    <t>Riesgo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</si>
</sst>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i/>
      <color rgb="FF777777"/>
      <sz val="9"/>
    </font>
    <font>
      <b/>
      <color rgb="FFFFFFFF"/>
      <sz val="10"/>
    </font>
    <font>
      <sz val="10"/>
    </font>
    <font>
      <color rgb="FF0B5132"/>
      <sz val="11"/>
    </font>
  </fonts>
  <fills count="8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243453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164" fontId="6" fillId="5" borderId="0" xfId="0" applyNumberFormat="1" applyFont="1" applyFill="1"/>
    <xf numFmtId="3" fontId="6" fillId="5" borderId="0" xfId="0" applyNumberFormat="1" applyFont="1" applyFill="1"/>
    <xf numFmtId="165" fontId="6" fillId="5" borderId="0" xfId="0" applyNumberFormat="1" applyFont="1" applyFill="1"/>
    <xf numFmtId="0" fontId="7" fillId="0" borderId="0" xfId="0" applyFont="1"/>
    <xf numFmtId="0" fontId="8" fillId="6" borderId="0" xfId="0" applyFont="1" applyFill="1"/>
    <xf numFmtId="164" fontId="9" fillId="0" borderId="0" xfId="0" applyNumberFormat="1" applyFont="1"/>
    <xf numFmtId="0" fontId="5" fillId="0" borderId="0" xfId="0" applyFont="1"/>
    <xf numFmtId="0" fontId="10" fillId="7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0.16</v>
      </c>
    </row>
    <row r="6" spans="1:2" x14ac:dyDescent="0.25">
      <c r="A6" s="4" t="s">
        <v>4</v>
      </c>
      <c r="B6" s="5">
        <v>0.18</v>
      </c>
    </row>
    <row r="7" spans="1:2" x14ac:dyDescent="0.25">
      <c r="A7" s="4" t="s">
        <v>5</v>
      </c>
      <c r="B7" s="5">
        <v>0.35</v>
      </c>
    </row>
    <row r="8" spans="1:2" x14ac:dyDescent="0.25">
      <c r="A8" s="4" t="s">
        <v>6</v>
      </c>
      <c r="B8" s="6">
        <v>5000</v>
      </c>
    </row>
    <row r="9" spans="1:2" x14ac:dyDescent="0.25">
      <c r="A9" s="4" t="s">
        <v>7</v>
      </c>
      <c r="B9" s="6">
        <v>830</v>
      </c>
    </row>
    <row r="10" spans="1:2" x14ac:dyDescent="0.25">
      <c r="A10" s="4" t="s">
        <v>8</v>
      </c>
      <c r="B10" s="5">
        <v>0.45</v>
      </c>
    </row>
    <row r="12" ht="20" customHeight="1" spans="1:4" x14ac:dyDescent="0.25">
      <c r="A12" s="3" t="s">
        <v>9</v>
      </c>
      <c r="B12" s="3"/>
      <c r="C12" s="3"/>
      <c r="D12" s="3"/>
    </row>
    <row r="13" spans="1:2" x14ac:dyDescent="0.25">
      <c r="A13" s="4" t="s">
        <v>10</v>
      </c>
      <c r="B13" s="7">
        <f>B6*(1-B7)</f>
      </c>
    </row>
    <row r="14" spans="1:2" x14ac:dyDescent="0.25">
      <c r="A14" s="4" t="s">
        <v>11</v>
      </c>
      <c r="B14" s="8">
        <f>B8*B10</f>
      </c>
    </row>
    <row r="15" spans="1:2" x14ac:dyDescent="0.25">
      <c r="A15" s="4" t="s">
        <v>12</v>
      </c>
      <c r="B15" s="8">
        <f>B8*(1-B10)</f>
      </c>
    </row>
    <row r="16" spans="1:2" x14ac:dyDescent="0.25">
      <c r="A16" s="4" t="s">
        <v>13</v>
      </c>
      <c r="B16" s="9">
        <f>B14/B15</f>
      </c>
    </row>
    <row r="17" spans="1:2" x14ac:dyDescent="0.25">
      <c r="A17" s="4" t="s">
        <v>14</v>
      </c>
      <c r="B17" s="7">
        <f>B5+(B5-B13)*B16</f>
      </c>
    </row>
    <row r="18" spans="1:2" x14ac:dyDescent="0.25">
      <c r="A18" s="4" t="s">
        <v>15</v>
      </c>
      <c r="B18" s="8">
        <f>B14*B6</f>
      </c>
    </row>
    <row r="19" spans="1:2" x14ac:dyDescent="0.25">
      <c r="A19" s="4" t="s">
        <v>16</v>
      </c>
      <c r="B19" s="9">
        <f>B9/B18</f>
      </c>
    </row>
    <row r="20" spans="1:2" x14ac:dyDescent="0.25">
      <c r="A20" s="4" t="s">
        <v>17</v>
      </c>
      <c r="B20" s="7">
        <f>B5-B13</f>
      </c>
    </row>
    <row r="22" ht="20" customHeight="1" spans="1:4" x14ac:dyDescent="0.25">
      <c r="A22" s="3" t="s">
        <v>18</v>
      </c>
      <c r="B22" s="3"/>
      <c r="C22" s="3"/>
      <c r="D22" s="3"/>
    </row>
    <row r="23" spans="1:4" x14ac:dyDescent="0.25">
      <c r="A23" s="10" t="s">
        <v>19</v>
      </c>
      <c r="B23" s="10"/>
      <c r="C23" s="10"/>
      <c r="D23" s="10"/>
    </row>
    <row r="24" spans="1:2" x14ac:dyDescent="0.25">
      <c r="A24" s="11" t="s">
        <v>8</v>
      </c>
      <c r="B24" s="11" t="s">
        <v>20</v>
      </c>
    </row>
    <row r="25" spans="1:2" x14ac:dyDescent="0.25">
      <c r="A25" s="12">
        <f>_xlfn.SEQUENCE(9,1,0,0.1)</f>
      </c>
      <c r="B25" s="12">
        <f>_xlfn.LET(dr,_xlfn.SEQUENCE(9,1,0,0.1),de,dr/(1-dr),B5+(B5-B13)*de)</f>
      </c>
    </row>
    <row r="35" ht="20" customHeight="1" spans="1:4" x14ac:dyDescent="0.25">
      <c r="A35" s="3" t="s">
        <v>21</v>
      </c>
      <c r="B35" s="3"/>
      <c r="C35" s="3"/>
      <c r="D35" s="3"/>
    </row>
    <row r="36" ht="30" customHeight="1" spans="1:4" x14ac:dyDescent="0.25">
      <c r="A36" s="13" t="s">
        <v>22</v>
      </c>
      <c r="B36" s="14">
        <f>IF(B20&gt;0,"La deuda MULTIPLICA: el capital rinde "&amp;TEXT(B5,"0.0%")&amp;" y la deuda cuesta "&amp;TEXT(B13,"0.0%")&amp;" (post impuesto). Mas deuda sube el ROE.","La deuda DESTRUYE: el capital rinde "&amp;TEXT(B5,"0.0%")&amp;" pero la deuda cuesta "&amp;TEXT(B13,"0.0%")&amp;". Endeudarse baja el ROE.")</f>
      </c>
      <c r="C36" s="14"/>
      <c r="D36" s="14"/>
    </row>
    <row r="37" ht="30" customHeight="1" spans="1:4" x14ac:dyDescent="0.25">
      <c r="A37" s="13" t="s">
        <v>23</v>
      </c>
      <c r="B37" s="14">
        <f>IF(B19&lt;2,"RIESGO: cobertura "&amp;TEXT(B19,"0.0")&amp;"x. El apalancamiento ya es peligroso; ante una baja de ventas, la caida es exponencial.","Cobertura "&amp;TEXT(B19,"0.0")&amp;"x: el nivel de deuda es manejable.")</f>
      </c>
      <c r="C37" s="14"/>
      <c r="D37" s="14"/>
    </row>
  </sheetData>
  <mergeCells count="9">
    <mergeCell ref="A1:D1"/>
    <mergeCell ref="A2:D2"/>
    <mergeCell ref="A4:D4"/>
    <mergeCell ref="A12:D12"/>
    <mergeCell ref="A22:D22"/>
    <mergeCell ref="A23:D23"/>
    <mergeCell ref="A35:D35"/>
    <mergeCell ref="B36:D36"/>
    <mergeCell ref="B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10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2026-06-24T11:39:17Z</dcterms:created>
  <dcterms:modified xsi:type="dcterms:W3CDTF">2026-06-24T11:39:17Z</dcterms:modified>
</cp:coreProperties>
</file>