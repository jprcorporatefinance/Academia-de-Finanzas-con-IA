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mana 11" state="visible" r:id="rId4"/>
  </sheets>
  <calcPr calcId="171027"/>
</workbook>
</file>

<file path=xl/sharedStrings.xml><?xml version="1.0" encoding="utf-8"?>
<sst xmlns="http://schemas.openxmlformats.org/spreadsheetml/2006/main" count="27" uniqueCount="27">
  <si>
    <t>MODELO INTERACTIVO · Semana 11 — Tasas y Amortización (Sistema Francés)</t>
  </si>
  <si>
    <t>Editá SOLO las celdas amarillas (entradas). Los cálculos y las conclusiones se actualizan solos.</t>
  </si>
  <si>
    <t>1) DATOS DE ENTRADA  (celdas amarillas)</t>
  </si>
  <si>
    <t>Capital del préstamo</t>
  </si>
  <si>
    <t>Tasa Nominal Anual (TNA)</t>
  </si>
  <si>
    <t>Capitalizaciones por año</t>
  </si>
  <si>
    <t>Cantidad de cuotas (meses)</t>
  </si>
  <si>
    <t>Inflación anual esperada</t>
  </si>
  <si>
    <t>Comisiones/gastos (% capital)</t>
  </si>
  <si>
    <t>Impuestos sobre intereses</t>
  </si>
  <si>
    <t>2) CÁLCULOS E INDICADORES</t>
  </si>
  <si>
    <t>Tasa mensual (TNA/m)</t>
  </si>
  <si>
    <t>Tasa Efectiva Anual (TEA)</t>
  </si>
  <si>
    <t>Tasa real (Fisher)</t>
  </si>
  <si>
    <t>Costo Financiero Total (CFT)</t>
  </si>
  <si>
    <t>Cuota mensual (sistema francés)</t>
  </si>
  <si>
    <t>Intereses totales</t>
  </si>
  <si>
    <t>3) Cuadro de marcha — Sistema Francés  (matriz dinámica · si no ves valores, presioná F9)</t>
  </si>
  <si>
    <t>Matriz dinámica: cada columna se genera con SEQUENCE e IPMT/PPMT; el saldo usa la fórmula cerrada. Cambiá capital, tasa o cuotas y todo se recalcula.</t>
  </si>
  <si>
    <t>Período</t>
  </si>
  <si>
    <t>Cuota</t>
  </si>
  <si>
    <t>Interés</t>
  </si>
  <si>
    <t>Capital</t>
  </si>
  <si>
    <t>Saldo</t>
  </si>
  <si>
    <t>4) CONCLUSIONES AUTOMÁTICAS</t>
  </si>
  <si>
    <t>De la TNA al CFT</t>
  </si>
  <si>
    <t>Tasa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</si>
</sst>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555555"/>
      <sz val="10"/>
    </font>
    <font>
      <b/>
      <color rgb="FFD4AF37"/>
      <sz val="11"/>
    </font>
    <font>
      <sz val="11"/>
    </font>
    <font>
      <b/>
      <sz val="11"/>
    </font>
    <font>
      <b/>
      <color rgb="FF1A2740"/>
      <sz val="11"/>
    </font>
    <font>
      <i/>
      <color rgb="FF777777"/>
      <sz val="9"/>
    </font>
    <font>
      <b/>
      <color rgb="FFFFFFFF"/>
      <sz val="10"/>
    </font>
    <font>
      <sz val="10"/>
    </font>
    <font>
      <color rgb="FF0B5132"/>
      <sz val="11"/>
    </font>
  </fonts>
  <fills count="8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243453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3" fillId="3" borderId="0" xfId="0" applyFont="1" applyFill="1" applyAlignment="1">
      <alignment indent="1"/>
    </xf>
    <xf numFmtId="0" fontId="4" fillId="0" borderId="0" xfId="0" applyFont="1"/>
    <xf numFmtId="3" fontId="5" fillId="4" borderId="1" xfId="0" applyNumberFormat="1" applyFont="1" applyFill="1" applyBorder="1"/>
    <xf numFmtId="164" fontId="5" fillId="4" borderId="1" xfId="0" applyNumberFormat="1" applyFont="1" applyFill="1" applyBorder="1"/>
    <xf numFmtId="10" fontId="6" fillId="5" borderId="0" xfId="0" applyNumberFormat="1" applyFont="1" applyFill="1"/>
    <xf numFmtId="164" fontId="6" fillId="5" borderId="0" xfId="0" applyNumberFormat="1" applyFont="1" applyFill="1"/>
    <xf numFmtId="4" fontId="6" fillId="5" borderId="0" xfId="0" applyNumberFormat="1" applyFont="1" applyFill="1"/>
    <xf numFmtId="0" fontId="7" fillId="0" borderId="0" xfId="0" applyFont="1"/>
    <xf numFmtId="0" fontId="8" fillId="6" borderId="0" xfId="0" applyFont="1" applyFill="1"/>
    <xf numFmtId="3" fontId="9" fillId="0" borderId="0" xfId="0" applyNumberFormat="1" applyFont="1"/>
    <xf numFmtId="4" fontId="9" fillId="0" borderId="0" xfId="0" applyNumberFormat="1" applyFont="1"/>
    <xf numFmtId="0" fontId="5" fillId="0" borderId="0" xfId="0" applyFont="1"/>
    <xf numFmtId="0" fontId="10" fillId="7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workbookViewId="0" showGridLines="0"/>
  </sheetViews>
  <sheetFormatPr defaultRowHeight="15" outlineLevelRow="0" outlineLevelCol="0" x14ac:dyDescent="55"/>
  <cols>
    <col min="1" max="1" width="42" customWidth="1"/>
    <col min="2" max="2" width="16" customWidth="1"/>
    <col min="3" max="3" width="14" customWidth="1"/>
    <col min="4" max="4" width="52" customWidth="1"/>
  </cols>
  <sheetData>
    <row r="1" ht="26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ht="20" customHeight="1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1000</v>
      </c>
    </row>
    <row r="6" spans="1:2" x14ac:dyDescent="0.25">
      <c r="A6" s="4" t="s">
        <v>4</v>
      </c>
      <c r="B6" s="6">
        <v>0.36</v>
      </c>
    </row>
    <row r="7" spans="1:2" x14ac:dyDescent="0.25">
      <c r="A7" s="4" t="s">
        <v>5</v>
      </c>
      <c r="B7" s="5">
        <v>12</v>
      </c>
    </row>
    <row r="8" spans="1:2" x14ac:dyDescent="0.25">
      <c r="A8" s="4" t="s">
        <v>6</v>
      </c>
      <c r="B8" s="5">
        <v>12</v>
      </c>
    </row>
    <row r="9" spans="1:2" x14ac:dyDescent="0.25">
      <c r="A9" s="4" t="s">
        <v>7</v>
      </c>
      <c r="B9" s="6">
        <v>0.45</v>
      </c>
    </row>
    <row r="10" spans="1:2" x14ac:dyDescent="0.25">
      <c r="A10" s="4" t="s">
        <v>8</v>
      </c>
      <c r="B10" s="6">
        <v>0.03</v>
      </c>
    </row>
    <row r="11" spans="1:2" x14ac:dyDescent="0.25">
      <c r="A11" s="4" t="s">
        <v>9</v>
      </c>
      <c r="B11" s="6">
        <v>0.21</v>
      </c>
    </row>
    <row r="13" ht="20" customHeight="1" spans="1:4" x14ac:dyDescent="0.25">
      <c r="A13" s="3" t="s">
        <v>10</v>
      </c>
      <c r="B13" s="3"/>
      <c r="C13" s="3"/>
      <c r="D13" s="3"/>
    </row>
    <row r="14" spans="1:2" x14ac:dyDescent="0.25">
      <c r="A14" s="4" t="s">
        <v>11</v>
      </c>
      <c r="B14" s="7">
        <f>B6/B7</f>
      </c>
    </row>
    <row r="15" spans="1:2" x14ac:dyDescent="0.25">
      <c r="A15" s="4" t="s">
        <v>12</v>
      </c>
      <c r="B15" s="8">
        <f>(1+B14)^B7-1</f>
      </c>
    </row>
    <row r="16" spans="1:2" x14ac:dyDescent="0.25">
      <c r="A16" s="4" t="s">
        <v>13</v>
      </c>
      <c r="B16" s="8">
        <f>(1+B15)/(1+B9)-1</f>
      </c>
    </row>
    <row r="17" spans="1:2" x14ac:dyDescent="0.25">
      <c r="A17" s="4" t="s">
        <v>14</v>
      </c>
      <c r="B17" s="8">
        <f>B15*(1+B11)+B10</f>
      </c>
    </row>
    <row r="18" spans="1:2" x14ac:dyDescent="0.25">
      <c r="A18" s="4" t="s">
        <v>15</v>
      </c>
      <c r="B18" s="9">
        <f>PMT(B14,B8,-B5)</f>
      </c>
    </row>
    <row r="19" spans="1:2" x14ac:dyDescent="0.25">
      <c r="A19" s="4" t="s">
        <v>16</v>
      </c>
      <c r="B19" s="9">
        <f>B18*B8-B5</f>
      </c>
    </row>
    <row r="21" ht="20" customHeight="1" spans="1:4" x14ac:dyDescent="0.25">
      <c r="A21" s="3" t="s">
        <v>17</v>
      </c>
      <c r="B21" s="3"/>
      <c r="C21" s="3"/>
      <c r="D21" s="3"/>
    </row>
    <row r="22" spans="1:4" x14ac:dyDescent="0.25">
      <c r="A22" s="10" t="s">
        <v>18</v>
      </c>
      <c r="B22" s="10"/>
      <c r="C22" s="10"/>
      <c r="D22" s="10"/>
    </row>
    <row r="23" spans="1:5" x14ac:dyDescent="0.25">
      <c r="A23" s="11" t="s">
        <v>19</v>
      </c>
      <c r="B23" s="11" t="s">
        <v>20</v>
      </c>
      <c r="C23" s="11" t="s">
        <v>21</v>
      </c>
      <c r="D23" s="11" t="s">
        <v>22</v>
      </c>
      <c r="E23" s="11" t="s">
        <v>23</v>
      </c>
    </row>
    <row r="24" spans="1:5" x14ac:dyDescent="0.25">
      <c r="A24" s="12">
        <f>_xlfn.SEQUENCE(B8)</f>
      </c>
      <c r="B24" s="13">
        <f>0*_xlfn.SEQUENCE(B8)+B18</f>
      </c>
      <c r="C24" s="13">
        <f>IPMT(B14,_xlfn.SEQUENCE(B8),B8,-B5)</f>
      </c>
      <c r="D24" s="13">
        <f>PPMT(B14,_xlfn.SEQUENCE(B8),B8,-B5)</f>
      </c>
      <c r="E24" s="13">
        <f>B5*(1+B14)^_xlfn.SEQUENCE(B8)-B18*((1+B14)^_xlfn.SEQUENCE(B8)-1)/B14</f>
      </c>
    </row>
    <row r="37" ht="20" customHeight="1" spans="1:4" x14ac:dyDescent="0.25">
      <c r="A37" s="3" t="s">
        <v>24</v>
      </c>
      <c r="B37" s="3"/>
      <c r="C37" s="3"/>
      <c r="D37" s="3"/>
    </row>
    <row r="38" ht="30" customHeight="1" spans="1:4" x14ac:dyDescent="0.25">
      <c r="A38" s="14" t="s">
        <v>25</v>
      </c>
      <c r="B38" s="15">
        <f>"La TNA es "&amp;TEXT(B6,"0.0%")&amp;", pero la TEA es "&amp;TEXT(B15,"0.0%")&amp;" y el CFT real (con comisiones e impuestos) es "&amp;TEXT(B17,"0.0%")&amp;". Nunca decidas mirando solo la tasa del cartel."</f>
      </c>
      <c r="C38" s="15"/>
      <c r="D38" s="15"/>
    </row>
    <row r="39" ht="30" customHeight="1" spans="1:4" x14ac:dyDescent="0.25">
      <c r="A39" s="14" t="s">
        <v>26</v>
      </c>
      <c r="B39" s="15">
        <f>IF(B16&lt;0,"La tasa real es NEGATIVA ("&amp;TEXT(B16,"0.0%")&amp;"): con esta inflacion, te endeudas en moneda que se deprecia.","La tasa real es POSITIVA ("&amp;TEXT(B16,"0.0%")&amp;"): la deuda cuesta de verdad; usala solo si el activo rinde mas.")</f>
      </c>
      <c r="C39" s="15"/>
      <c r="D39" s="15"/>
    </row>
  </sheetData>
  <mergeCells count="9">
    <mergeCell ref="A1:D1"/>
    <mergeCell ref="A2:D2"/>
    <mergeCell ref="A4:D4"/>
    <mergeCell ref="A13:D13"/>
    <mergeCell ref="A21:D21"/>
    <mergeCell ref="A22:D22"/>
    <mergeCell ref="A37:D37"/>
    <mergeCell ref="B38:D38"/>
    <mergeCell ref="B39:D3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Semana 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Academia de Finanzas Corporativas + IA</dc:creator>
  <dc:title/>
  <dc:subject/>
  <dc:description/>
  <cp:keywords/>
  <cp:category/>
  <cp:lastModifiedBy>Unknown</cp:lastModifiedBy>
  <dcterms:created xsi:type="dcterms:W3CDTF">2026-06-24T11:39:18Z</dcterms:created>
  <dcterms:modified xsi:type="dcterms:W3CDTF">2026-06-24T11:39:18Z</dcterms:modified>
</cp:coreProperties>
</file>