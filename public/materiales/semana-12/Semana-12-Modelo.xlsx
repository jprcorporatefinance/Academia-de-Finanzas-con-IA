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12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<sst xmlns="http://schemas.openxmlformats.org/spreadsheetml/2006/main" count="25" uniqueCount="25">
  <si>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MODELO INTERACTIVO · Semana 12 — Valuación por DCF</t>
  </si>
  <si>
    <t>Editá SOLO las celdas amarillas (entradas). Los cálculos y las conclusiones se actualizan solos.</t>
  </si>
  <si>
    <t>1) DATOS DE ENTRADA  (celdas amarillas)</t>
  </si>
  <si>
    <t>FCFF base (último año)</t>
  </si>
  <si>
    <t>Crecimiento del FCFF</t>
  </si>
  <si>
    <t>Años de proyección</t>
  </si>
  <si>
    <t>WACC (tasa de descuento)</t>
  </si>
  <si>
    <t>Crecimiento perpetuo (g)</t>
  </si>
  <si>
    <t>Deuda neta</t>
  </si>
  <si>
    <t>2) CÁLCULOS E INDICADORES</t>
  </si>
  <si>
    <t>VP de flujos explícitos</t>
  </si>
  <si>
    <t>Valor terminal (Gordon)</t>
  </si>
  <si>
    <t>VP del valor terminal</t>
  </si>
  <si>
    <t>Enterprise Value</t>
  </si>
  <si>
    <t>Equity Value</t>
  </si>
  <si>
    <t>Peso del valor terminal</t>
  </si>
  <si>
    <t>3) Proyección de flujos descontados  (matriz dinámica · si no ves valores, presioná F9)</t>
  </si>
  <si>
    <t>Matriz dinámica: año, FCFF proyectado y valor presente generados con SEQUENCE.</t>
  </si>
  <si>
    <t>Año</t>
  </si>
  <si>
    <t>FCFF proyectado</t>
  </si>
  <si>
    <t>Factor de descuento</t>
  </si>
  <si>
    <t>Valor presente</t>
  </si>
  <si>
    <t>4) CONCLUSIONES AUTOMÁTICAS</t>
  </si>
  <si>
    <t>Valor</t>
  </si>
  <si>
    <t>Sensibilidad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</si>
</sst>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i/>
      <color rgb="FF777777"/>
      <sz val="9"/>
    </font>
    <font>
      <b/>
      <color rgb="FFFFFFFF"/>
      <sz val="10"/>
    </font>
    <font>
      <sz val="10"/>
    </font>
    <font>
      <color rgb="FF0B5132"/>
      <sz val="11"/>
    </font>
  </fonts>
  <fills count="8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243453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3" fontId="6" fillId="5" borderId="0" xfId="0" applyNumberFormat="1" applyFont="1" applyFill="1"/>
    <xf numFmtId="164" fontId="6" fillId="5" borderId="0" xfId="0" applyNumberFormat="1" applyFont="1" applyFill="1"/>
    <xf numFmtId="0" fontId="7" fillId="0" borderId="0" xfId="0" applyFont="1"/>
    <xf numFmtId="0" fontId="8" fillId="6" borderId="0" xfId="0" applyFont="1" applyFill="1"/>
    <xf numFmtId="3" fontId="9" fillId="0" borderId="0" xfId="0" applyNumberFormat="1" applyFont="1"/>
    <xf numFmtId="4" fontId="9" fillId="0" borderId="0" xfId="0" applyNumberFormat="1" applyFont="1"/>
    <xf numFmtId="0" fontId="5" fillId="0" borderId="0" xfId="0" applyFont="1"/>
    <xf numFmtId="0" fontId="10" fillId="7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305</v>
      </c>
    </row>
    <row r="6" spans="1:2" x14ac:dyDescent="0.25">
      <c r="A6" s="4" t="s">
        <v>4</v>
      </c>
      <c r="B6" s="6">
        <v>0.06</v>
      </c>
    </row>
    <row r="7" spans="1:2" x14ac:dyDescent="0.25">
      <c r="A7" s="4" t="s">
        <v>5</v>
      </c>
      <c r="B7" s="5">
        <v>5</v>
      </c>
    </row>
    <row r="8" spans="1:2" x14ac:dyDescent="0.25">
      <c r="A8" s="4" t="s">
        <v>6</v>
      </c>
      <c r="B8" s="6">
        <v>0.21</v>
      </c>
    </row>
    <row r="9" spans="1:2" x14ac:dyDescent="0.25">
      <c r="A9" s="4" t="s">
        <v>7</v>
      </c>
      <c r="B9" s="6">
        <v>0.03</v>
      </c>
    </row>
    <row r="10" spans="1:2" x14ac:dyDescent="0.25">
      <c r="A10" s="4" t="s">
        <v>8</v>
      </c>
      <c r="B10" s="5">
        <v>3090</v>
      </c>
    </row>
    <row r="12" ht="20" customHeight="1" spans="1:4" x14ac:dyDescent="0.25">
      <c r="A12" s="3" t="s">
        <v>9</v>
      </c>
      <c r="B12" s="3"/>
      <c r="C12" s="3"/>
      <c r="D12" s="3"/>
    </row>
    <row r="13" spans="1:2" x14ac:dyDescent="0.25">
      <c r="A13" s="4" t="s">
        <v>10</v>
      </c>
      <c r="B13" s="7">
        <f>_xlfn.LET(t,_xlfn.SEQUENCE(B7),SUM(B5*(1+B6)^t/(1+B8)^t))</f>
      </c>
    </row>
    <row r="14" spans="1:2" x14ac:dyDescent="0.25">
      <c r="A14" s="4" t="s">
        <v>11</v>
      </c>
      <c r="B14" s="7">
        <f>B5*(1+B6)^B7*(1+B9)/(B8-B9)</f>
      </c>
    </row>
    <row r="15" spans="1:2" x14ac:dyDescent="0.25">
      <c r="A15" s="4" t="s">
        <v>12</v>
      </c>
      <c r="B15" s="7">
        <f>B14/(1+B8)^B7</f>
      </c>
    </row>
    <row r="16" spans="1:2" x14ac:dyDescent="0.25">
      <c r="A16" s="4" t="s">
        <v>13</v>
      </c>
      <c r="B16" s="7">
        <f>B13+B15</f>
      </c>
    </row>
    <row r="17" spans="1:2" x14ac:dyDescent="0.25">
      <c r="A17" s="4" t="s">
        <v>14</v>
      </c>
      <c r="B17" s="7">
        <f>B16-B10</f>
      </c>
    </row>
    <row r="18" spans="1:2" x14ac:dyDescent="0.25">
      <c r="A18" s="4" t="s">
        <v>15</v>
      </c>
      <c r="B18" s="8">
        <f>B15/B16</f>
      </c>
    </row>
    <row r="20" ht="20" customHeight="1" spans="1:4" x14ac:dyDescent="0.25">
      <c r="A20" s="3" t="s">
        <v>16</v>
      </c>
      <c r="B20" s="3"/>
      <c r="C20" s="3"/>
      <c r="D20" s="3"/>
    </row>
    <row r="21" spans="1:4" x14ac:dyDescent="0.25">
      <c r="A21" s="9" t="s">
        <v>17</v>
      </c>
      <c r="B21" s="9"/>
      <c r="C21" s="9"/>
      <c r="D21" s="9"/>
    </row>
    <row r="22" spans="1:4" x14ac:dyDescent="0.25">
      <c r="A22" s="10" t="s">
        <v>18</v>
      </c>
      <c r="B22" s="10" t="s">
        <v>19</v>
      </c>
      <c r="C22" s="10" t="s">
        <v>20</v>
      </c>
      <c r="D22" s="10" t="s">
        <v>21</v>
      </c>
    </row>
    <row r="23" spans="1:4" x14ac:dyDescent="0.25">
      <c r="A23" s="11">
        <f>_xlfn.SEQUENCE(B7)</f>
      </c>
      <c r="B23" s="11">
        <f>B5*(1+B6)^_xlfn.SEQUENCE(B7)</f>
      </c>
      <c r="C23" s="12">
        <f>1/(1+B8)^_xlfn.SEQUENCE(B7)</f>
      </c>
      <c r="D23" s="11">
        <f>B5*(1+B6)^_xlfn.SEQUENCE(B7)/(1+B8)^_xlfn.SEQUENCE(B7)</f>
      </c>
    </row>
    <row r="29" ht="20" customHeight="1" spans="1:4" x14ac:dyDescent="0.25">
      <c r="A29" s="3" t="s">
        <v>22</v>
      </c>
      <c r="B29" s="3"/>
      <c r="C29" s="3"/>
      <c r="D29" s="3"/>
    </row>
    <row r="30" ht="30" customHeight="1" spans="1:4" x14ac:dyDescent="0.25">
      <c r="A30" s="13" t="s">
        <v>23</v>
      </c>
      <c r="B30" s="14">
        <f>"Enterprise Value "&amp;TEXT(B16,"#,##0")&amp;" k; Equity Value "&amp;TEXT(B17,"#,##0")&amp;" k (tras restar deuda neta). El valor terminal pesa "&amp;TEXT(B18,"0%")&amp;" del total."</f>
      </c>
      <c r="C30" s="14"/>
      <c r="D30" s="14"/>
    </row>
    <row r="31" ht="30" customHeight="1" spans="1:4" x14ac:dyDescent="0.25">
      <c r="A31" s="13" t="s">
        <v>24</v>
      </c>
      <c r="B31" s="14">
        <f>IF(B8-B9&lt;0.05,"CUIDADO: WACC y g estan muy cerca; el valor terminal se dispara y la valuacion se vuelve fragil.","Relacion WACC-g razonable. Movi el WACC unos puntos y observa cuanto cambia el valor: ese es el costo del riesgo pais.")</f>
      </c>
      <c r="C31" s="14"/>
      <c r="D31" s="14"/>
    </row>
  </sheetData>
  <mergeCells count="9">
    <mergeCell ref="A1:D1"/>
    <mergeCell ref="A2:D2"/>
    <mergeCell ref="A4:D4"/>
    <mergeCell ref="A12:D12"/>
    <mergeCell ref="A20:D20"/>
    <mergeCell ref="A21:D21"/>
    <mergeCell ref="A29:D29"/>
    <mergeCell ref="B30:D30"/>
    <mergeCell ref="B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2026-06-24T11:39:18Z</dcterms:created>
  <dcterms:modified xsi:type="dcterms:W3CDTF">2026-06-24T11:39:18Z</dcterms:modified>
</cp:coreProperties>
</file>